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/>
  <mc:AlternateContent xmlns:mc="http://schemas.openxmlformats.org/markup-compatibility/2006">
    <mc:Choice Requires="x15">
      <x15ac:absPath xmlns:x15ac="http://schemas.microsoft.com/office/spreadsheetml/2010/11/ac" url="/Users/tw6/Library/CloudStorage/GoogleDrive-tw6@sanger.ac.uk/My Drive/Projects/Billing/StockPlateComparison/"/>
    </mc:Choice>
  </mc:AlternateContent>
  <xr:revisionPtr revIDLastSave="0" documentId="8_{18A6A4FE-7619-D84E-B1B3-B94152DEB4FA}" xr6:coauthVersionLast="47" xr6:coauthVersionMax="47" xr10:uidLastSave="{00000000-0000-0000-0000-000000000000}"/>
  <bookViews>
    <workbookView xWindow="-35200" yWindow="-2180" windowWidth="30240" windowHeight="18960" xr2:uid="{00000000-000D-0000-FFFF-FFFF00000000}"/>
  </bookViews>
  <sheets>
    <sheet name="Description" sheetId="1" r:id="rId1"/>
    <sheet name="new_billing_query" sheetId="2" r:id="rId2"/>
    <sheet name="original_billing_query" sheetId="3" r:id="rId3"/>
    <sheet name="Check New Vs Old" sheetId="4" r:id="rId4"/>
    <sheet name="new_billing_query_ungrouped" sheetId="5" r:id="rId5"/>
    <sheet name="Cell By Cell Cmp" sheetId="6" r:id="rId6"/>
  </sheets>
  <calcPr calcId="191029"/>
  <pivotCaches>
    <pivotCache cacheId="18" r:id="rId7"/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" i="6" l="1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J12" i="4"/>
  <c r="J11" i="4"/>
  <c r="J10" i="4"/>
  <c r="J9" i="4"/>
  <c r="J8" i="4"/>
  <c r="J7" i="4"/>
  <c r="J6" i="4"/>
  <c r="J5" i="4"/>
  <c r="J4" i="4"/>
  <c r="J3" i="4"/>
</calcChain>
</file>

<file path=xl/sharedStrings.xml><?xml version="1.0" encoding="utf-8"?>
<sst xmlns="http://schemas.openxmlformats.org/spreadsheetml/2006/main" count="1945" uniqueCount="138">
  <si>
    <t>This sheet compares the new billing query including source stock plate againt the originall billing query without it between '2022-07-24 00:00:00' and '2022-07-25 23:59:59'</t>
  </si>
  <si>
    <t>Sheet</t>
  </si>
  <si>
    <t>Description</t>
  </si>
  <si>
    <t>new_billing_query</t>
  </si>
  <si>
    <t>The output for the new query with an grouped by an extra stock plate column for the given data range.</t>
  </si>
  <si>
    <t>original_billing_query</t>
  </si>
  <si>
    <t>The output for the original query Richard R has been using</t>
  </si>
  <si>
    <t>Check New Vs Old</t>
  </si>
  <si>
    <t>Compares the total lane proportion per cost code per study calculated over the two sets of results.</t>
  </si>
  <si>
    <t>new_billing_query_ungrouped</t>
  </si>
  <si>
    <t>This is the result of the new billing query without grouping by stock plate in order to carry out a cell by cell comparison with the results from the old query.</t>
  </si>
  <si>
    <t>Cell By Cell Cmp</t>
  </si>
  <si>
    <t>This is the result of the cell by cell comparison. Note the only differences showing up are due to rounding errors below 6 decimal places.</t>
  </si>
  <si>
    <t>platform</t>
  </si>
  <si>
    <t>project_cost_code</t>
  </si>
  <si>
    <t>study_id</t>
  </si>
  <si>
    <t>lane_position</t>
  </si>
  <si>
    <t>batch_id</t>
  </si>
  <si>
    <t>study_name</t>
  </si>
  <si>
    <t>stock_plate_barcode</t>
  </si>
  <si>
    <t>reagent_kit_barcode</t>
  </si>
  <si>
    <t>sbs_cycle_kit</t>
  </si>
  <si>
    <t>qc_outcome</t>
  </si>
  <si>
    <t>v1/1.5</t>
  </si>
  <si>
    <t>xp</t>
  </si>
  <si>
    <t>sp</t>
  </si>
  <si>
    <t>read1</t>
  </si>
  <si>
    <t>read2</t>
  </si>
  <si>
    <t>total</t>
  </si>
  <si>
    <t>library</t>
  </si>
  <si>
    <t>num_samples</t>
  </si>
  <si>
    <t>q20yield</t>
  </si>
  <si>
    <t>NovaSeq</t>
  </si>
  <si>
    <t>S0910</t>
  </si>
  <si>
    <t>Alternative Enzymes 2022 human genomes</t>
  </si>
  <si>
    <t>passed</t>
  </si>
  <si>
    <t>v1.5</t>
  </si>
  <si>
    <t>XP</t>
  </si>
  <si>
    <t>S4</t>
  </si>
  <si>
    <t>Pre-quality controlled</t>
  </si>
  <si>
    <t>Alternative Enzymes 2022 microbial genomes</t>
  </si>
  <si>
    <t>S4240</t>
  </si>
  <si>
    <t>Functional changes associated with drivers in chronic liver disease (exome)</t>
  </si>
  <si>
    <t>DN944363E</t>
  </si>
  <si>
    <t>Twist Pulldown</t>
  </si>
  <si>
    <t>DN944364F</t>
  </si>
  <si>
    <t>DN944365G</t>
  </si>
  <si>
    <t>HiSeq</t>
  </si>
  <si>
    <t>S10332</t>
  </si>
  <si>
    <t>HCA Bone Marrow Wellcome LEAP RNA</t>
  </si>
  <si>
    <t>Chromium single cell 5 prime</t>
  </si>
  <si>
    <t xml:space="preserve">T10274 </t>
  </si>
  <si>
    <t>Heron Project</t>
  </si>
  <si>
    <t>HT-138729</t>
  </si>
  <si>
    <t>SP</t>
  </si>
  <si>
    <t>Sanger_tailed_artic_v1_384</t>
  </si>
  <si>
    <t>HT-138751</t>
  </si>
  <si>
    <t>HT-138753</t>
  </si>
  <si>
    <t>HT-138803</t>
  </si>
  <si>
    <t>HT-138731</t>
  </si>
  <si>
    <t>HT-138733</t>
  </si>
  <si>
    <t>HT-138802</t>
  </si>
  <si>
    <t>HT-138804</t>
  </si>
  <si>
    <t>HT-138770</t>
  </si>
  <si>
    <t>HT-138790</t>
  </si>
  <si>
    <t>HT-138795</t>
  </si>
  <si>
    <t>HT-138800</t>
  </si>
  <si>
    <t>HT-138766</t>
  </si>
  <si>
    <t>HT-138772</t>
  </si>
  <si>
    <t>HT-138773</t>
  </si>
  <si>
    <t>HT-138792</t>
  </si>
  <si>
    <t>HT-138768</t>
  </si>
  <si>
    <t>HT-138771</t>
  </si>
  <si>
    <t>HT-138789</t>
  </si>
  <si>
    <t>HT-138791</t>
  </si>
  <si>
    <t>HT-138767</t>
  </si>
  <si>
    <t>HT-138769</t>
  </si>
  <si>
    <t>HT-138774</t>
  </si>
  <si>
    <t>HT-138793</t>
  </si>
  <si>
    <t>HT-138775</t>
  </si>
  <si>
    <t>HT-138781</t>
  </si>
  <si>
    <t>HT-138785</t>
  </si>
  <si>
    <t>HT-138794</t>
  </si>
  <si>
    <t>HT-138779</t>
  </si>
  <si>
    <t>HT-138796</t>
  </si>
  <si>
    <t>HT-138798</t>
  </si>
  <si>
    <t>HT-138806</t>
  </si>
  <si>
    <t>S4216</t>
  </si>
  <si>
    <t>HG_WC10162_Birth Cohort_MCS</t>
  </si>
  <si>
    <t>DN940745V</t>
  </si>
  <si>
    <t>v1</t>
  </si>
  <si>
    <t>Agilent Pulldown</t>
  </si>
  <si>
    <t>DN940746W</t>
  </si>
  <si>
    <t>DN940792F</t>
  </si>
  <si>
    <t>DN940793G</t>
  </si>
  <si>
    <t>DN940747A</t>
  </si>
  <si>
    <t>DN940794H</t>
  </si>
  <si>
    <t>DN940795I</t>
  </si>
  <si>
    <t>DN940748B</t>
  </si>
  <si>
    <t>DN940749C</t>
  </si>
  <si>
    <t>DN940796J</t>
  </si>
  <si>
    <t>DN940743T</t>
  </si>
  <si>
    <t>DN940744U</t>
  </si>
  <si>
    <t>DN940790D</t>
  </si>
  <si>
    <t>DN940791E</t>
  </si>
  <si>
    <t>DN940712M</t>
  </si>
  <si>
    <t>DN940713N</t>
  </si>
  <si>
    <t>DN940717R</t>
  </si>
  <si>
    <t>DN940718S</t>
  </si>
  <si>
    <t>DN940714O</t>
  </si>
  <si>
    <t>DN940719T</t>
  </si>
  <si>
    <t>DN940720M</t>
  </si>
  <si>
    <t>S4360</t>
  </si>
  <si>
    <t>DN940773C</t>
  </si>
  <si>
    <t>DN940774D</t>
  </si>
  <si>
    <t>DN940780B</t>
  </si>
  <si>
    <t>DN940781C</t>
  </si>
  <si>
    <t>MiSeq</t>
  </si>
  <si>
    <t>MQ R and D 2014</t>
  </si>
  <si>
    <t>600V3</t>
  </si>
  <si>
    <t>S10017</t>
  </si>
  <si>
    <t>Mutational variability in oesophagus in areas of high SCC incidence_WGS</t>
  </si>
  <si>
    <t>DN640619V</t>
  </si>
  <si>
    <t>No XP</t>
  </si>
  <si>
    <t>DN866279V</t>
  </si>
  <si>
    <t>DN866280O</t>
  </si>
  <si>
    <t>DN919915T</t>
  </si>
  <si>
    <t>DN948404M</t>
  </si>
  <si>
    <t>RVI Programme - Heron Library</t>
  </si>
  <si>
    <t>HT-138509</t>
  </si>
  <si>
    <t>HT-138510</t>
  </si>
  <si>
    <t>HT-138511</t>
  </si>
  <si>
    <t>HT-138513</t>
  </si>
  <si>
    <t>T10274</t>
  </si>
  <si>
    <t>New Billing Query Summed</t>
  </si>
  <si>
    <t>Old Billing Query Summed</t>
  </si>
  <si>
    <t>Match Check (6 d.p.)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</si>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</sst>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10" xfId="0" applyFont="1" applyBorder="1"/>
    <xf numFmtId="0" fontId="1" fillId="0" borderId="0" xfId="0" applyFont="1"/>
    <xf numFmtId="0" fontId="5" fillId="0" borderId="0" xfId="0" applyFont="1"/>
    <xf numFmtId="0" fontId="0" fillId="0" borderId="3" xfId="0" applyNumberFormat="1" applyBorder="1"/>
    <xf numFmtId="0" fontId="0" fillId="0" borderId="6" xfId="0" applyNumberFormat="1" applyBorder="1"/>
    <xf numFmtId="0" fontId="0" fillId="0" borderId="9" xfId="0" applyNumberFormat="1" applyBorder="1"/>
  </cellXfs>
  <cellStyles count="1"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Arial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name val="Arial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name val="Arial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name val="Arial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name val="Arial"/>
        <scheme val="minor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heet3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homas Whiteley" refreshedDate="46055.431647337966" refreshedVersion="8" recordCount="129" xr:uid="{00000000-000A-0000-FFFF-FFFF00000000}">
  <cacheSource type="worksheet">
    <worksheetSource ref="A1:S130" sheet="new_billing_query"/>
  </cacheSource>
  <cacheFields count="19">
    <cacheField name="platform" numFmtId="0">
      <sharedItems/>
    </cacheField>
    <cacheField name="project_cost_code" numFmtId="0">
      <sharedItems count="7">
        <s v="S0910"/>
        <s v="S4240"/>
        <s v="S10332"/>
        <s v="T10274 "/>
        <s v="S4216"/>
        <s v="S4360"/>
        <s v="S10017"/>
      </sharedItems>
    </cacheField>
    <cacheField name="study_id" numFmtId="0">
      <sharedItems containsSemiMixedTypes="0" containsString="0" containsNumber="1" containsInteger="1" minValue="2984" maxValue="7069" count="9">
        <n v="7068"/>
        <n v="7069"/>
        <n v="6423"/>
        <n v="6644"/>
        <n v="6187"/>
        <n v="6595"/>
        <n v="2984"/>
        <n v="6778"/>
        <n v="6940"/>
      </sharedItems>
    </cacheField>
    <cacheField name="lane_position" numFmtId="0">
      <sharedItems containsSemiMixedTypes="0" containsString="0" containsNumber="1" containsInteger="1" minValue="1" maxValue="4"/>
    </cacheField>
    <cacheField name="batch_id" numFmtId="0">
      <sharedItems containsSemiMixedTypes="0" containsString="0" containsNumber="1" containsInteger="1" minValue="93010" maxValue="93384"/>
    </cacheField>
    <cacheField name="study_name" numFmtId="0">
      <sharedItems/>
    </cacheField>
    <cacheField name="stock_plate_barcode" numFmtId="0">
      <sharedItems containsBlank="1"/>
    </cacheField>
    <cacheField name="reagent_kit_barcode" numFmtId="0">
      <sharedItems containsBlank="1"/>
    </cacheField>
    <cacheField name="sbs_cycle_kit" numFmtId="0">
      <sharedItems containsString="0" containsBlank="1" containsNumber="1" containsInteger="1" minValue="330" maxValue="545"/>
    </cacheField>
    <cacheField name="qc_outcome" numFmtId="0">
      <sharedItems containsBlank="1"/>
    </cacheField>
    <cacheField name="v1/1.5" numFmtId="0">
      <sharedItems containsBlank="1"/>
    </cacheField>
    <cacheField name="xp" numFmtId="0">
      <sharedItems containsBlank="1"/>
    </cacheField>
    <cacheField name="sp" numFmtId="0">
      <sharedItems containsBlank="1"/>
    </cacheField>
    <cacheField name="read1" numFmtId="0">
      <sharedItems containsString="0" containsBlank="1" containsNumber="1" containsInteger="1" minValue="101" maxValue="221"/>
    </cacheField>
    <cacheField name="read2" numFmtId="0">
      <sharedItems containsString="0" containsBlank="1" containsNumber="1" containsInteger="1" minValue="101" maxValue="201"/>
    </cacheField>
    <cacheField name="total" numFmtId="0">
      <sharedItems containsSemiMixedTypes="0" containsString="0" containsNumber="1" minValue="1.0526315E-2" maxValue="1"/>
    </cacheField>
    <cacheField name="library" numFmtId="0">
      <sharedItems/>
    </cacheField>
    <cacheField name="num_samples" numFmtId="0">
      <sharedItems containsSemiMixedTypes="0" containsString="0" containsNumber="1" containsInteger="1" minValue="1" maxValue="96"/>
    </cacheField>
    <cacheField name="q20yield" numFmtId="0">
      <sharedItems containsString="0" containsBlank="1" containsNumber="1" minValue="98693.367299999998" maxValue="290498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homas Whiteley" refreshedDate="46055.431647453704" refreshedVersion="8" recordCount="46" xr:uid="{00000000-000A-0000-FFFF-FFFF01000000}">
  <cacheSource type="worksheet">
    <worksheetSource ref="A1:R47" sheet="original_billing_query"/>
  </cacheSource>
  <cacheFields count="18">
    <cacheField name="platform" numFmtId="0">
      <sharedItems/>
    </cacheField>
    <cacheField name="project_cost_code" numFmtId="0">
      <sharedItems count="7">
        <s v="S0910"/>
        <s v="S4240"/>
        <s v="S10332"/>
        <s v="T10274"/>
        <s v="S4216"/>
        <s v="S4360"/>
        <s v="S10017"/>
      </sharedItems>
    </cacheField>
    <cacheField name="study_id" numFmtId="0">
      <sharedItems containsSemiMixedTypes="0" containsString="0" containsNumber="1" containsInteger="1" minValue="2984" maxValue="7069" count="9">
        <n v="7068"/>
        <n v="7069"/>
        <n v="6423"/>
        <n v="6644"/>
        <n v="6187"/>
        <n v="6595"/>
        <n v="2984"/>
        <n v="6778"/>
        <n v="6940"/>
      </sharedItems>
    </cacheField>
    <cacheField name="lane_position" numFmtId="0">
      <sharedItems containsSemiMixedTypes="0" containsString="0" containsNumber="1" containsInteger="1" minValue="1" maxValue="4"/>
    </cacheField>
    <cacheField name="batch_id" numFmtId="0">
      <sharedItems containsSemiMixedTypes="0" containsString="0" containsNumber="1" containsInteger="1" minValue="93010" maxValue="93384"/>
    </cacheField>
    <cacheField name="study_name" numFmtId="0">
      <sharedItems/>
    </cacheField>
    <cacheField name="reagent_kit_barcode" numFmtId="0">
      <sharedItems containsBlank="1"/>
    </cacheField>
    <cacheField name="sbs_cycle_kit" numFmtId="0">
      <sharedItems containsString="0" containsBlank="1" containsNumber="1" containsInteger="1" minValue="330" maxValue="545"/>
    </cacheField>
    <cacheField name="qc_outcome" numFmtId="0">
      <sharedItems containsBlank="1"/>
    </cacheField>
    <cacheField name="v1/1.5" numFmtId="0">
      <sharedItems containsBlank="1"/>
    </cacheField>
    <cacheField name="xp" numFmtId="0">
      <sharedItems containsBlank="1"/>
    </cacheField>
    <cacheField name="sp" numFmtId="0">
      <sharedItems containsBlank="1"/>
    </cacheField>
    <cacheField name="read1" numFmtId="0">
      <sharedItems containsString="0" containsBlank="1" containsNumber="1" containsInteger="1" minValue="101" maxValue="221"/>
    </cacheField>
    <cacheField name="read2" numFmtId="0">
      <sharedItems containsString="0" containsBlank="1" containsNumber="1" containsInteger="1" minValue="101" maxValue="201"/>
    </cacheField>
    <cacheField name="total" numFmtId="0">
      <sharedItems containsSemiMixedTypes="0" containsString="0" containsNumber="1" minValue="1.7241379000000001E-2" maxValue="1"/>
    </cacheField>
    <cacheField name="library" numFmtId="0">
      <sharedItems/>
    </cacheField>
    <cacheField name="num_samples" numFmtId="0">
      <sharedItems containsSemiMixedTypes="0" containsString="0" containsNumber="1" containsInteger="1" minValue="1" maxValue="384"/>
    </cacheField>
    <cacheField name="q20yield" numFmtId="0">
      <sharedItems containsString="0" containsBlank="1" containsNumber="1" minValue="98693.367299999998" maxValue="290498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NovaSeq"/>
    <x v="0"/>
    <x v="0"/>
    <n v="4"/>
    <n v="93296"/>
    <s v="Alternative Enzymes 2022 human genomes"/>
    <m/>
    <m/>
    <n v="338"/>
    <s v="passed"/>
    <s v="v1.5"/>
    <s v="XP"/>
    <s v="S4"/>
    <n v="151"/>
    <n v="151"/>
    <n v="1.7241379000000001E-2"/>
    <s v="Pre-quality controlled"/>
    <n v="1"/>
    <n v="290498475"/>
  </r>
  <r>
    <s v="NovaSeq"/>
    <x v="0"/>
    <x v="1"/>
    <n v="4"/>
    <n v="93296"/>
    <s v="Alternative Enzymes 2022 microbial genomes"/>
    <m/>
    <m/>
    <n v="338"/>
    <s v="passed"/>
    <s v="v1.5"/>
    <s v="XP"/>
    <s v="S4"/>
    <n v="151"/>
    <n v="151"/>
    <n v="0.13793103200000001"/>
    <s v="Pre-quality controlled"/>
    <n v="8"/>
    <n v="934583.75"/>
  </r>
  <r>
    <s v="NovaSeq"/>
    <x v="1"/>
    <x v="2"/>
    <n v="1"/>
    <n v="93294"/>
    <s v="Functional changes associated with drivers in chronic liver disease (exome)"/>
    <s v="DN944363E"/>
    <m/>
    <n v="338"/>
    <s v="passed"/>
    <s v="v1.5"/>
    <s v="XP"/>
    <s v="S4"/>
    <n v="151"/>
    <n v="151"/>
    <n v="1"/>
    <s v="Twist Pulldown"/>
    <n v="16"/>
    <n v="53789815.3125"/>
  </r>
  <r>
    <s v="NovaSeq"/>
    <x v="1"/>
    <x v="2"/>
    <n v="2"/>
    <n v="93294"/>
    <s v="Functional changes associated with drivers in chronic liver disease (exome)"/>
    <s v="DN944363E"/>
    <m/>
    <n v="338"/>
    <s v="passed"/>
    <s v="v1.5"/>
    <s v="XP"/>
    <s v="S4"/>
    <n v="151"/>
    <n v="151"/>
    <n v="0.99999998999999995"/>
    <s v="Twist Pulldown"/>
    <n v="22"/>
    <n v="38883371.045500003"/>
  </r>
  <r>
    <s v="NovaSeq"/>
    <x v="1"/>
    <x v="2"/>
    <n v="3"/>
    <n v="93294"/>
    <s v="Functional changes associated with drivers in chronic liver disease (exome)"/>
    <s v="DN944363E"/>
    <m/>
    <n v="338"/>
    <s v="passed"/>
    <s v="v1.5"/>
    <s v="XP"/>
    <s v="S4"/>
    <n v="151"/>
    <n v="151"/>
    <n v="0.99999998999999995"/>
    <s v="Twist Pulldown"/>
    <n v="22"/>
    <n v="39057516.272699997"/>
  </r>
  <r>
    <s v="NovaSeq"/>
    <x v="1"/>
    <x v="2"/>
    <n v="4"/>
    <n v="93294"/>
    <s v="Functional changes associated with drivers in chronic liver disease (exome)"/>
    <s v="DN944363E"/>
    <m/>
    <n v="338"/>
    <s v="passed"/>
    <s v="v1.5"/>
    <s v="XP"/>
    <s v="S4"/>
    <n v="151"/>
    <n v="151"/>
    <n v="0.99999998999999995"/>
    <s v="Twist Pulldown"/>
    <n v="22"/>
    <n v="39177371.636399999"/>
  </r>
  <r>
    <s v="NovaSeq"/>
    <x v="1"/>
    <x v="2"/>
    <n v="1"/>
    <n v="93295"/>
    <s v="Functional changes associated with drivers in chronic liver disease (exome)"/>
    <s v="DN944364F"/>
    <m/>
    <n v="338"/>
    <s v="passed"/>
    <s v="v1.5"/>
    <s v="XP"/>
    <s v="S4"/>
    <n v="151"/>
    <n v="151"/>
    <n v="0.99999998799999901"/>
    <s v="Twist Pulldown"/>
    <n v="26"/>
    <n v="34186340.153800003"/>
  </r>
  <r>
    <s v="NovaSeq"/>
    <x v="1"/>
    <x v="2"/>
    <n v="2"/>
    <n v="93295"/>
    <s v="Functional changes associated with drivers in chronic liver disease (exome)"/>
    <s v="DN944365G"/>
    <m/>
    <n v="338"/>
    <s v="passed"/>
    <s v="v1.5"/>
    <s v="XP"/>
    <s v="S4"/>
    <n v="151"/>
    <n v="151"/>
    <n v="0.99999998800000001"/>
    <s v="Twist Pulldown"/>
    <n v="13"/>
    <n v="67276806.923099995"/>
  </r>
  <r>
    <s v="NovaSeq"/>
    <x v="1"/>
    <x v="2"/>
    <n v="3"/>
    <n v="93295"/>
    <s v="Functional changes associated with drivers in chronic liver disease (exome)"/>
    <s v="DN944365G"/>
    <m/>
    <n v="338"/>
    <s v="passed"/>
    <s v="v1.5"/>
    <s v="XP"/>
    <s v="S4"/>
    <n v="151"/>
    <n v="151"/>
    <n v="0.99999999299999898"/>
    <s v="Twist Pulldown"/>
    <n v="17"/>
    <n v="49678904.705899999"/>
  </r>
  <r>
    <s v="NovaSeq"/>
    <x v="1"/>
    <x v="2"/>
    <n v="4"/>
    <n v="93295"/>
    <s v="Functional changes associated with drivers in chronic liver disease (exome)"/>
    <s v="DN944365G"/>
    <m/>
    <n v="338"/>
    <s v="passed"/>
    <s v="v1.5"/>
    <s v="XP"/>
    <s v="S4"/>
    <n v="151"/>
    <n v="151"/>
    <n v="0.99999999299999898"/>
    <s v="Twist Pulldown"/>
    <n v="17"/>
    <n v="50940391.588200003"/>
  </r>
  <r>
    <s v="NovaSeq"/>
    <x v="1"/>
    <x v="2"/>
    <n v="1"/>
    <n v="93296"/>
    <s v="Functional changes associated with drivers in chronic liver disease (exome)"/>
    <s v="DN944364F"/>
    <m/>
    <n v="338"/>
    <s v="passed"/>
    <s v="v1.5"/>
    <s v="XP"/>
    <s v="S4"/>
    <n v="151"/>
    <n v="151"/>
    <n v="1"/>
    <s v="Twist Pulldown"/>
    <n v="16"/>
    <n v="57150071.625"/>
  </r>
  <r>
    <s v="NovaSeq"/>
    <x v="1"/>
    <x v="2"/>
    <n v="2"/>
    <n v="93296"/>
    <s v="Functional changes associated with drivers in chronic liver disease (exome)"/>
    <s v="DN944364F"/>
    <m/>
    <n v="338"/>
    <s v="passed"/>
    <s v="v1.5"/>
    <s v="XP"/>
    <s v="S4"/>
    <n v="151"/>
    <n v="151"/>
    <n v="0.99999998799999901"/>
    <s v="Twist Pulldown"/>
    <n v="26"/>
    <n v="35362786.769199997"/>
  </r>
  <r>
    <s v="NovaSeq"/>
    <x v="1"/>
    <x v="2"/>
    <n v="3"/>
    <n v="93296"/>
    <s v="Functional changes associated with drivers in chronic liver disease (exome)"/>
    <s v="DN944364F"/>
    <m/>
    <n v="338"/>
    <s v="passed"/>
    <s v="v1.5"/>
    <s v="XP"/>
    <s v="S4"/>
    <n v="151"/>
    <n v="151"/>
    <n v="0.99999998799999901"/>
    <s v="Twist Pulldown"/>
    <n v="26"/>
    <n v="34572409.576899998"/>
  </r>
  <r>
    <s v="HiSeq"/>
    <x v="2"/>
    <x v="3"/>
    <n v="1"/>
    <n v="93301"/>
    <s v="HCA Bone Marrow Wellcome LEAP RNA"/>
    <m/>
    <m/>
    <m/>
    <s v="passed"/>
    <m/>
    <m/>
    <m/>
    <m/>
    <m/>
    <n v="1"/>
    <s v="Chromium single cell 5 prime"/>
    <n v="2"/>
    <n v="4519056"/>
  </r>
  <r>
    <s v="HiSeq"/>
    <x v="2"/>
    <x v="3"/>
    <n v="2"/>
    <n v="93301"/>
    <s v="HCA Bone Marrow Wellcome LEAP RNA"/>
    <m/>
    <m/>
    <m/>
    <s v="passed"/>
    <m/>
    <m/>
    <m/>
    <m/>
    <m/>
    <n v="1"/>
    <s v="Chromium single cell 5 prime"/>
    <n v="2"/>
    <n v="4635952.5"/>
  </r>
  <r>
    <s v="NovaSeq"/>
    <x v="3"/>
    <x v="4"/>
    <n v="1"/>
    <n v="93378"/>
    <s v="Heron Project"/>
    <s v="HT-138729"/>
    <m/>
    <n v="545"/>
    <s v="passed"/>
    <s v="v1.5"/>
    <s v="XP"/>
    <s v="SP"/>
    <n v="221"/>
    <n v="201"/>
    <n v="0.24999993599999901"/>
    <s v="Sanger_tailed_artic_v1_384"/>
    <n v="96"/>
    <n v="485371.30209999997"/>
  </r>
  <r>
    <s v="NovaSeq"/>
    <x v="3"/>
    <x v="4"/>
    <n v="1"/>
    <n v="93378"/>
    <s v="Heron Project"/>
    <s v="HT-138751"/>
    <m/>
    <n v="545"/>
    <s v="passed"/>
    <s v="v1.5"/>
    <s v="XP"/>
    <s v="SP"/>
    <n v="221"/>
    <n v="201"/>
    <n v="0.24999993599999901"/>
    <s v="Sanger_tailed_artic_v1_384"/>
    <n v="96"/>
    <n v="347156.90629999997"/>
  </r>
  <r>
    <s v="NovaSeq"/>
    <x v="3"/>
    <x v="4"/>
    <n v="1"/>
    <n v="93378"/>
    <s v="Heron Project"/>
    <s v="HT-138753"/>
    <m/>
    <n v="545"/>
    <s v="passed"/>
    <s v="v1.5"/>
    <s v="XP"/>
    <s v="SP"/>
    <n v="221"/>
    <n v="201"/>
    <n v="0.24999993599999901"/>
    <s v="Sanger_tailed_artic_v1_384"/>
    <n v="96"/>
    <n v="609469.77080000006"/>
  </r>
  <r>
    <s v="NovaSeq"/>
    <x v="3"/>
    <x v="4"/>
    <n v="1"/>
    <n v="93378"/>
    <s v="Heron Project"/>
    <s v="HT-138803"/>
    <m/>
    <n v="545"/>
    <s v="passed"/>
    <s v="v1.5"/>
    <s v="XP"/>
    <s v="SP"/>
    <n v="221"/>
    <n v="201"/>
    <n v="0.24999993599999901"/>
    <s v="Sanger_tailed_artic_v1_384"/>
    <n v="96"/>
    <n v="606000.14580000006"/>
  </r>
  <r>
    <s v="NovaSeq"/>
    <x v="3"/>
    <x v="4"/>
    <n v="2"/>
    <n v="93378"/>
    <s v="Heron Project"/>
    <s v="HT-138731"/>
    <m/>
    <n v="545"/>
    <s v="passed"/>
    <s v="v1.5"/>
    <s v="XP"/>
    <s v="SP"/>
    <n v="221"/>
    <n v="201"/>
    <n v="0.24999993599999901"/>
    <s v="Sanger_tailed_artic_v1_384"/>
    <n v="96"/>
    <n v="508721.13540000003"/>
  </r>
  <r>
    <s v="NovaSeq"/>
    <x v="3"/>
    <x v="4"/>
    <n v="2"/>
    <n v="93378"/>
    <s v="Heron Project"/>
    <s v="HT-138733"/>
    <m/>
    <n v="545"/>
    <s v="passed"/>
    <s v="v1.5"/>
    <s v="XP"/>
    <s v="SP"/>
    <n v="221"/>
    <n v="201"/>
    <n v="0.24999993599999901"/>
    <s v="Sanger_tailed_artic_v1_384"/>
    <n v="96"/>
    <n v="764374.85419999994"/>
  </r>
  <r>
    <s v="NovaSeq"/>
    <x v="3"/>
    <x v="4"/>
    <n v="2"/>
    <n v="93378"/>
    <s v="Heron Project"/>
    <s v="HT-138802"/>
    <m/>
    <n v="545"/>
    <s v="passed"/>
    <s v="v1.5"/>
    <s v="XP"/>
    <s v="SP"/>
    <n v="221"/>
    <n v="201"/>
    <n v="0.24999993599999901"/>
    <s v="Sanger_tailed_artic_v1_384"/>
    <n v="96"/>
    <n v="226603.9375"/>
  </r>
  <r>
    <s v="NovaSeq"/>
    <x v="3"/>
    <x v="4"/>
    <n v="2"/>
    <n v="93378"/>
    <s v="Heron Project"/>
    <s v="HT-138804"/>
    <m/>
    <n v="545"/>
    <s v="passed"/>
    <s v="v1.5"/>
    <s v="XP"/>
    <s v="SP"/>
    <n v="221"/>
    <n v="201"/>
    <n v="0.24999993599999901"/>
    <s v="Sanger_tailed_artic_v1_384"/>
    <n v="96"/>
    <n v="724323.10419999994"/>
  </r>
  <r>
    <s v="NovaSeq"/>
    <x v="3"/>
    <x v="4"/>
    <n v="1"/>
    <n v="93381"/>
    <s v="Heron Project"/>
    <s v="HT-138770"/>
    <m/>
    <n v="545"/>
    <s v="passed"/>
    <s v="v1.5"/>
    <s v="XP"/>
    <s v="SP"/>
    <n v="221"/>
    <n v="201"/>
    <n v="0.251308896"/>
    <s v="Sanger_tailed_artic_v1_384"/>
    <n v="96"/>
    <n v="396447.46879999997"/>
  </r>
  <r>
    <s v="NovaSeq"/>
    <x v="3"/>
    <x v="4"/>
    <n v="1"/>
    <n v="93381"/>
    <s v="Heron Project"/>
    <s v="HT-138790"/>
    <m/>
    <n v="545"/>
    <s v="passed"/>
    <s v="v1.5"/>
    <s v="XP"/>
    <s v="SP"/>
    <n v="221"/>
    <n v="201"/>
    <n v="0.251308896"/>
    <s v="Sanger_tailed_artic_v1_384"/>
    <n v="96"/>
    <n v="753657.375"/>
  </r>
  <r>
    <s v="NovaSeq"/>
    <x v="3"/>
    <x v="4"/>
    <n v="1"/>
    <n v="93381"/>
    <s v="Heron Project"/>
    <s v="HT-138795"/>
    <m/>
    <n v="545"/>
    <s v="passed"/>
    <s v="v1.5"/>
    <s v="XP"/>
    <s v="SP"/>
    <n v="221"/>
    <n v="201"/>
    <n v="0.251308896"/>
    <s v="Sanger_tailed_artic_v1_384"/>
    <n v="96"/>
    <n v="551311.33330000006"/>
  </r>
  <r>
    <s v="NovaSeq"/>
    <x v="3"/>
    <x v="4"/>
    <n v="1"/>
    <n v="93381"/>
    <s v="Heron Project"/>
    <s v="HT-138800"/>
    <m/>
    <n v="545"/>
    <s v="passed"/>
    <s v="v1.5"/>
    <s v="XP"/>
    <s v="SP"/>
    <n v="221"/>
    <n v="201"/>
    <n v="0.246073294"/>
    <s v="Sanger_tailed_artic_v1_384"/>
    <n v="94"/>
    <n v="435607.79790000001"/>
  </r>
  <r>
    <s v="NovaSeq"/>
    <x v="3"/>
    <x v="4"/>
    <n v="2"/>
    <n v="93381"/>
    <s v="Heron Project"/>
    <s v="HT-138766"/>
    <m/>
    <n v="545"/>
    <s v="passed"/>
    <s v="v1.5"/>
    <s v="XP"/>
    <s v="SP"/>
    <n v="221"/>
    <n v="201"/>
    <n v="0.24999993599999901"/>
    <s v="Sanger_tailed_artic_v1_384"/>
    <n v="96"/>
    <n v="458162.7292"/>
  </r>
  <r>
    <s v="NovaSeq"/>
    <x v="3"/>
    <x v="4"/>
    <n v="2"/>
    <n v="93381"/>
    <s v="Heron Project"/>
    <s v="HT-138772"/>
    <m/>
    <n v="545"/>
    <s v="passed"/>
    <s v="v1.5"/>
    <s v="XP"/>
    <s v="SP"/>
    <n v="221"/>
    <n v="201"/>
    <n v="0.24999993599999901"/>
    <s v="Sanger_tailed_artic_v1_384"/>
    <n v="96"/>
    <n v="516462.5"/>
  </r>
  <r>
    <s v="NovaSeq"/>
    <x v="3"/>
    <x v="4"/>
    <n v="2"/>
    <n v="93381"/>
    <s v="Heron Project"/>
    <s v="HT-138773"/>
    <m/>
    <n v="545"/>
    <s v="passed"/>
    <s v="v1.5"/>
    <s v="XP"/>
    <s v="SP"/>
    <n v="221"/>
    <n v="201"/>
    <n v="0.24999993599999901"/>
    <s v="Sanger_tailed_artic_v1_384"/>
    <n v="96"/>
    <n v="383411.3542"/>
  </r>
  <r>
    <s v="NovaSeq"/>
    <x v="3"/>
    <x v="4"/>
    <n v="2"/>
    <n v="93381"/>
    <s v="Heron Project"/>
    <s v="HT-138792"/>
    <m/>
    <n v="545"/>
    <s v="passed"/>
    <s v="v1.5"/>
    <s v="XP"/>
    <s v="SP"/>
    <n v="221"/>
    <n v="201"/>
    <n v="0.24999993599999901"/>
    <s v="Sanger_tailed_artic_v1_384"/>
    <n v="96"/>
    <n v="538727.69790000003"/>
  </r>
  <r>
    <s v="NovaSeq"/>
    <x v="3"/>
    <x v="4"/>
    <n v="1"/>
    <n v="93382"/>
    <s v="Heron Project"/>
    <s v="HT-138768"/>
    <m/>
    <n v="545"/>
    <s v="passed"/>
    <s v="v1.5"/>
    <s v="XP"/>
    <s v="SP"/>
    <n v="221"/>
    <n v="201"/>
    <n v="0.24999993599999901"/>
    <s v="Sanger_tailed_artic_v1_384"/>
    <n v="96"/>
    <n v="588309"/>
  </r>
  <r>
    <s v="NovaSeq"/>
    <x v="3"/>
    <x v="4"/>
    <n v="1"/>
    <n v="93382"/>
    <s v="Heron Project"/>
    <s v="HT-138771"/>
    <m/>
    <n v="545"/>
    <s v="passed"/>
    <s v="v1.5"/>
    <s v="XP"/>
    <s v="SP"/>
    <n v="221"/>
    <n v="201"/>
    <n v="0.24999993599999901"/>
    <s v="Sanger_tailed_artic_v1_384"/>
    <n v="96"/>
    <n v="354994.19790000003"/>
  </r>
  <r>
    <s v="NovaSeq"/>
    <x v="3"/>
    <x v="4"/>
    <n v="1"/>
    <n v="93382"/>
    <s v="Heron Project"/>
    <s v="HT-138789"/>
    <m/>
    <n v="545"/>
    <s v="passed"/>
    <s v="v1.5"/>
    <s v="XP"/>
    <s v="SP"/>
    <n v="221"/>
    <n v="201"/>
    <n v="0.24999993599999901"/>
    <s v="Sanger_tailed_artic_v1_384"/>
    <n v="96"/>
    <n v="655271.3125"/>
  </r>
  <r>
    <s v="NovaSeq"/>
    <x v="3"/>
    <x v="4"/>
    <n v="1"/>
    <n v="93382"/>
    <s v="Heron Project"/>
    <s v="HT-138791"/>
    <m/>
    <n v="545"/>
    <s v="passed"/>
    <s v="v1.5"/>
    <s v="XP"/>
    <s v="SP"/>
    <n v="221"/>
    <n v="201"/>
    <n v="0.24999993599999901"/>
    <s v="Sanger_tailed_artic_v1_384"/>
    <n v="96"/>
    <n v="630968.46880000003"/>
  </r>
  <r>
    <s v="NovaSeq"/>
    <x v="3"/>
    <x v="4"/>
    <n v="2"/>
    <n v="93382"/>
    <s v="Heron Project"/>
    <s v="HT-138768"/>
    <m/>
    <n v="545"/>
    <s v="passed"/>
    <s v="v1.5"/>
    <s v="XP"/>
    <s v="SP"/>
    <n v="221"/>
    <n v="201"/>
    <n v="0.24999993599999901"/>
    <s v="Sanger_tailed_artic_v1_384"/>
    <n v="96"/>
    <n v="589232.14580000006"/>
  </r>
  <r>
    <s v="NovaSeq"/>
    <x v="3"/>
    <x v="4"/>
    <n v="2"/>
    <n v="93382"/>
    <s v="Heron Project"/>
    <s v="HT-138771"/>
    <m/>
    <n v="545"/>
    <s v="passed"/>
    <s v="v1.5"/>
    <s v="XP"/>
    <s v="SP"/>
    <n v="221"/>
    <n v="201"/>
    <n v="0.24999993599999901"/>
    <s v="Sanger_tailed_artic_v1_384"/>
    <n v="96"/>
    <n v="355522.84379999997"/>
  </r>
  <r>
    <s v="NovaSeq"/>
    <x v="3"/>
    <x v="4"/>
    <n v="2"/>
    <n v="93382"/>
    <s v="Heron Project"/>
    <s v="HT-138789"/>
    <m/>
    <n v="545"/>
    <s v="passed"/>
    <s v="v1.5"/>
    <s v="XP"/>
    <s v="SP"/>
    <n v="221"/>
    <n v="201"/>
    <n v="0.24999993599999901"/>
    <s v="Sanger_tailed_artic_v1_384"/>
    <n v="96"/>
    <n v="656299.11459999997"/>
  </r>
  <r>
    <s v="NovaSeq"/>
    <x v="3"/>
    <x v="4"/>
    <n v="2"/>
    <n v="93382"/>
    <s v="Heron Project"/>
    <s v="HT-138791"/>
    <m/>
    <n v="545"/>
    <s v="passed"/>
    <s v="v1.5"/>
    <s v="XP"/>
    <s v="SP"/>
    <n v="221"/>
    <n v="201"/>
    <n v="0.24999993599999901"/>
    <s v="Sanger_tailed_artic_v1_384"/>
    <n v="96"/>
    <n v="632020.59380000003"/>
  </r>
  <r>
    <s v="NovaSeq"/>
    <x v="3"/>
    <x v="4"/>
    <n v="1"/>
    <n v="93383"/>
    <s v="Heron Project"/>
    <s v="HT-138767"/>
    <m/>
    <n v="545"/>
    <s v="passed"/>
    <s v="v1.5"/>
    <s v="XP"/>
    <s v="SP"/>
    <n v="221"/>
    <n v="201"/>
    <n v="0.24999993599999901"/>
    <s v="Sanger_tailed_artic_v1_384"/>
    <n v="96"/>
    <n v="635348.33330000006"/>
  </r>
  <r>
    <s v="NovaSeq"/>
    <x v="3"/>
    <x v="4"/>
    <n v="1"/>
    <n v="93383"/>
    <s v="Heron Project"/>
    <s v="HT-138769"/>
    <m/>
    <n v="545"/>
    <s v="passed"/>
    <s v="v1.5"/>
    <s v="XP"/>
    <s v="SP"/>
    <n v="221"/>
    <n v="201"/>
    <n v="0.24999993599999901"/>
    <s v="Sanger_tailed_artic_v1_384"/>
    <n v="96"/>
    <n v="397381.80209999997"/>
  </r>
  <r>
    <s v="NovaSeq"/>
    <x v="3"/>
    <x v="4"/>
    <n v="1"/>
    <n v="93383"/>
    <s v="Heron Project"/>
    <s v="HT-138774"/>
    <m/>
    <n v="545"/>
    <s v="passed"/>
    <s v="v1.5"/>
    <s v="XP"/>
    <s v="SP"/>
    <n v="221"/>
    <n v="201"/>
    <n v="0.24999993599999901"/>
    <s v="Sanger_tailed_artic_v1_384"/>
    <n v="96"/>
    <n v="625778.15630000003"/>
  </r>
  <r>
    <s v="NovaSeq"/>
    <x v="3"/>
    <x v="4"/>
    <n v="1"/>
    <n v="93383"/>
    <s v="Heron Project"/>
    <s v="HT-138793"/>
    <m/>
    <n v="545"/>
    <s v="passed"/>
    <s v="v1.5"/>
    <s v="XP"/>
    <s v="SP"/>
    <n v="221"/>
    <n v="201"/>
    <n v="0.24999993599999901"/>
    <s v="Sanger_tailed_artic_v1_384"/>
    <n v="96"/>
    <n v="404327.57290000003"/>
  </r>
  <r>
    <s v="NovaSeq"/>
    <x v="3"/>
    <x v="4"/>
    <n v="2"/>
    <n v="93383"/>
    <s v="Heron Project"/>
    <s v="HT-138775"/>
    <m/>
    <n v="545"/>
    <s v="passed"/>
    <s v="v1.5"/>
    <s v="XP"/>
    <s v="SP"/>
    <n v="221"/>
    <n v="201"/>
    <n v="0.24999993599999901"/>
    <s v="Sanger_tailed_artic_v1_384"/>
    <n v="96"/>
    <n v="560923.85419999994"/>
  </r>
  <r>
    <s v="NovaSeq"/>
    <x v="3"/>
    <x v="4"/>
    <n v="2"/>
    <n v="93383"/>
    <s v="Heron Project"/>
    <s v="HT-138781"/>
    <m/>
    <n v="545"/>
    <s v="passed"/>
    <s v="v1.5"/>
    <s v="XP"/>
    <s v="SP"/>
    <n v="221"/>
    <n v="201"/>
    <n v="0.24999993599999901"/>
    <s v="Sanger_tailed_artic_v1_384"/>
    <n v="96"/>
    <n v="425041.63540000003"/>
  </r>
  <r>
    <s v="NovaSeq"/>
    <x v="3"/>
    <x v="4"/>
    <n v="2"/>
    <n v="93383"/>
    <s v="Heron Project"/>
    <s v="HT-138785"/>
    <m/>
    <n v="545"/>
    <s v="passed"/>
    <s v="v1.5"/>
    <s v="XP"/>
    <s v="SP"/>
    <n v="221"/>
    <n v="201"/>
    <n v="0.24999993599999901"/>
    <s v="Sanger_tailed_artic_v1_384"/>
    <n v="96"/>
    <n v="603064.23959999997"/>
  </r>
  <r>
    <s v="NovaSeq"/>
    <x v="3"/>
    <x v="4"/>
    <n v="2"/>
    <n v="93383"/>
    <s v="Heron Project"/>
    <s v="HT-138794"/>
    <m/>
    <n v="545"/>
    <s v="passed"/>
    <s v="v1.5"/>
    <s v="XP"/>
    <s v="SP"/>
    <n v="221"/>
    <n v="201"/>
    <n v="0.24999993599999901"/>
    <s v="Sanger_tailed_artic_v1_384"/>
    <n v="96"/>
    <n v="635298.51040000003"/>
  </r>
  <r>
    <s v="NovaSeq"/>
    <x v="3"/>
    <x v="4"/>
    <n v="1"/>
    <n v="93384"/>
    <s v="Heron Project"/>
    <s v="HT-138779"/>
    <m/>
    <n v="545"/>
    <s v="passed"/>
    <s v="v1.5"/>
    <s v="XP"/>
    <s v="SP"/>
    <n v="221"/>
    <n v="201"/>
    <n v="0.24999993599999901"/>
    <s v="Sanger_tailed_artic_v1_384"/>
    <n v="96"/>
    <n v="759047.14580000006"/>
  </r>
  <r>
    <s v="NovaSeq"/>
    <x v="3"/>
    <x v="4"/>
    <n v="1"/>
    <n v="93384"/>
    <s v="Heron Project"/>
    <s v="HT-138796"/>
    <m/>
    <n v="545"/>
    <s v="passed"/>
    <s v="v1.5"/>
    <s v="XP"/>
    <s v="SP"/>
    <n v="221"/>
    <n v="201"/>
    <n v="0.24999993599999901"/>
    <s v="Sanger_tailed_artic_v1_384"/>
    <n v="96"/>
    <n v="447303.01040000003"/>
  </r>
  <r>
    <s v="NovaSeq"/>
    <x v="3"/>
    <x v="4"/>
    <n v="1"/>
    <n v="93384"/>
    <s v="Heron Project"/>
    <s v="HT-138798"/>
    <m/>
    <n v="545"/>
    <s v="passed"/>
    <s v="v1.5"/>
    <s v="XP"/>
    <s v="SP"/>
    <n v="221"/>
    <n v="201"/>
    <n v="0.24999993599999901"/>
    <s v="Sanger_tailed_artic_v1_384"/>
    <n v="96"/>
    <n v="447650.63540000003"/>
  </r>
  <r>
    <s v="NovaSeq"/>
    <x v="3"/>
    <x v="4"/>
    <n v="1"/>
    <n v="93384"/>
    <s v="Heron Project"/>
    <s v="HT-138806"/>
    <m/>
    <n v="545"/>
    <s v="passed"/>
    <s v="v1.5"/>
    <s v="XP"/>
    <s v="SP"/>
    <n v="221"/>
    <n v="201"/>
    <n v="0.24999993599999901"/>
    <s v="Sanger_tailed_artic_v1_384"/>
    <n v="96"/>
    <n v="513768.05209999997"/>
  </r>
  <r>
    <s v="NovaSeq"/>
    <x v="3"/>
    <x v="4"/>
    <n v="2"/>
    <n v="93384"/>
    <s v="Heron Project"/>
    <s v="HT-138779"/>
    <m/>
    <n v="545"/>
    <s v="passed"/>
    <s v="v1.5"/>
    <s v="XP"/>
    <s v="SP"/>
    <n v="221"/>
    <n v="201"/>
    <n v="0.24999993599999901"/>
    <s v="Sanger_tailed_artic_v1_384"/>
    <n v="96"/>
    <n v="756721.01040000003"/>
  </r>
  <r>
    <s v="NovaSeq"/>
    <x v="3"/>
    <x v="4"/>
    <n v="2"/>
    <n v="93384"/>
    <s v="Heron Project"/>
    <s v="HT-138796"/>
    <m/>
    <n v="545"/>
    <s v="passed"/>
    <s v="v1.5"/>
    <s v="XP"/>
    <s v="SP"/>
    <n v="221"/>
    <n v="201"/>
    <n v="0.24999993599999901"/>
    <s v="Sanger_tailed_artic_v1_384"/>
    <n v="96"/>
    <n v="446111.53129999997"/>
  </r>
  <r>
    <s v="NovaSeq"/>
    <x v="3"/>
    <x v="4"/>
    <n v="2"/>
    <n v="93384"/>
    <s v="Heron Project"/>
    <s v="HT-138798"/>
    <m/>
    <n v="545"/>
    <s v="passed"/>
    <s v="v1.5"/>
    <s v="XP"/>
    <s v="SP"/>
    <n v="221"/>
    <n v="201"/>
    <n v="0.24999993599999901"/>
    <s v="Sanger_tailed_artic_v1_384"/>
    <n v="96"/>
    <n v="446548.53129999997"/>
  </r>
  <r>
    <s v="NovaSeq"/>
    <x v="3"/>
    <x v="4"/>
    <n v="2"/>
    <n v="93384"/>
    <s v="Heron Project"/>
    <s v="HT-138806"/>
    <m/>
    <n v="545"/>
    <s v="passed"/>
    <s v="v1.5"/>
    <s v="XP"/>
    <s v="SP"/>
    <n v="221"/>
    <n v="201"/>
    <n v="0.24999993599999901"/>
    <s v="Sanger_tailed_artic_v1_384"/>
    <n v="96"/>
    <n v="512112.6458"/>
  </r>
  <r>
    <s v="NovaSeq"/>
    <x v="4"/>
    <x v="5"/>
    <n v="1"/>
    <n v="93290"/>
    <s v="HG_WC10162_Birth Cohort_MCS"/>
    <s v="DN940745V"/>
    <m/>
    <n v="330"/>
    <s v="passed"/>
    <s v="v1"/>
    <s v="XP"/>
    <s v="S4"/>
    <n v="101"/>
    <n v="101"/>
    <n v="0.39583330799999999"/>
    <s v="Agilent Pulldown"/>
    <n v="38"/>
    <n v="5979671.6052999999"/>
  </r>
  <r>
    <s v="NovaSeq"/>
    <x v="4"/>
    <x v="5"/>
    <n v="1"/>
    <n v="93290"/>
    <s v="HG_WC10162_Birth Cohort_MCS"/>
    <s v="DN940746W"/>
    <m/>
    <n v="330"/>
    <s v="passed"/>
    <s v="v1"/>
    <s v="XP"/>
    <s v="S4"/>
    <n v="101"/>
    <n v="101"/>
    <n v="0.124999992"/>
    <s v="Agilent Pulldown"/>
    <n v="12"/>
    <n v="6062723.75"/>
  </r>
  <r>
    <s v="NovaSeq"/>
    <x v="4"/>
    <x v="5"/>
    <n v="1"/>
    <n v="93290"/>
    <s v="HG_WC10162_Birth Cohort_MCS"/>
    <s v="DN940792F"/>
    <m/>
    <n v="330"/>
    <s v="passed"/>
    <s v="v1"/>
    <s v="XP"/>
    <s v="S4"/>
    <n v="101"/>
    <n v="101"/>
    <n v="0.114583326"/>
    <s v="Agilent Pulldown"/>
    <n v="11"/>
    <n v="5678927.4545"/>
  </r>
  <r>
    <s v="NovaSeq"/>
    <x v="4"/>
    <x v="5"/>
    <n v="1"/>
    <n v="93290"/>
    <s v="HG_WC10162_Birth Cohort_MCS"/>
    <s v="DN940793G"/>
    <m/>
    <n v="330"/>
    <s v="passed"/>
    <s v="v1"/>
    <s v="XP"/>
    <s v="S4"/>
    <n v="101"/>
    <n v="101"/>
    <n v="0.36458330999999999"/>
    <s v="Agilent Pulldown"/>
    <n v="35"/>
    <n v="6093285.7714"/>
  </r>
  <r>
    <s v="NovaSeq"/>
    <x v="4"/>
    <x v="5"/>
    <n v="2"/>
    <n v="93290"/>
    <s v="HG_WC10162_Birth Cohort_MCS"/>
    <s v="DN940746W"/>
    <m/>
    <n v="330"/>
    <s v="passed"/>
    <s v="v1"/>
    <s v="XP"/>
    <s v="S4"/>
    <n v="101"/>
    <n v="101"/>
    <n v="0.135416658"/>
    <s v="Agilent Pulldown"/>
    <n v="13"/>
    <n v="5896827.8461999996"/>
  </r>
  <r>
    <s v="NovaSeq"/>
    <x v="4"/>
    <x v="5"/>
    <n v="2"/>
    <n v="93290"/>
    <s v="HG_WC10162_Birth Cohort_MCS"/>
    <s v="DN940747A"/>
    <m/>
    <n v="330"/>
    <s v="passed"/>
    <s v="v1"/>
    <s v="XP"/>
    <s v="S4"/>
    <n v="101"/>
    <n v="101"/>
    <n v="0.36458330999999999"/>
    <s v="Agilent Pulldown"/>
    <n v="35"/>
    <n v="5997595.2571"/>
  </r>
  <r>
    <s v="NovaSeq"/>
    <x v="4"/>
    <x v="5"/>
    <n v="2"/>
    <n v="93290"/>
    <s v="HG_WC10162_Birth Cohort_MCS"/>
    <s v="DN940794H"/>
    <m/>
    <n v="330"/>
    <s v="passed"/>
    <s v="v1"/>
    <s v="XP"/>
    <s v="S4"/>
    <n v="101"/>
    <n v="101"/>
    <n v="0.458333304"/>
    <s v="Agilent Pulldown"/>
    <n v="44"/>
    <n v="5953214.5909000002"/>
  </r>
  <r>
    <s v="NovaSeq"/>
    <x v="4"/>
    <x v="5"/>
    <n v="2"/>
    <n v="93290"/>
    <s v="HG_WC10162_Birth Cohort_MCS"/>
    <s v="DN940795I"/>
    <m/>
    <n v="330"/>
    <s v="passed"/>
    <s v="v1"/>
    <s v="XP"/>
    <s v="S4"/>
    <n v="101"/>
    <n v="101"/>
    <n v="4.1666663999999999E-2"/>
    <s v="Agilent Pulldown"/>
    <n v="4"/>
    <n v="6803400.25"/>
  </r>
  <r>
    <s v="NovaSeq"/>
    <x v="4"/>
    <x v="5"/>
    <n v="3"/>
    <n v="93290"/>
    <s v="HG_WC10162_Birth Cohort_MCS"/>
    <s v="DN940747A"/>
    <m/>
    <n v="330"/>
    <s v="passed"/>
    <s v="v1"/>
    <s v="XP"/>
    <s v="S4"/>
    <n v="101"/>
    <n v="101"/>
    <n v="0.427083306"/>
    <s v="Agilent Pulldown"/>
    <n v="41"/>
    <n v="6344907.8293000003"/>
  </r>
  <r>
    <s v="NovaSeq"/>
    <x v="4"/>
    <x v="5"/>
    <n v="3"/>
    <n v="93290"/>
    <s v="HG_WC10162_Birth Cohort_MCS"/>
    <s v="DN940748B"/>
    <m/>
    <n v="330"/>
    <s v="passed"/>
    <s v="v1"/>
    <s v="XP"/>
    <s v="S4"/>
    <n v="101"/>
    <n v="101"/>
    <n v="7.2916661999999993E-2"/>
    <s v="Agilent Pulldown"/>
    <n v="7"/>
    <n v="5508461.5713999998"/>
  </r>
  <r>
    <s v="NovaSeq"/>
    <x v="4"/>
    <x v="5"/>
    <n v="3"/>
    <n v="93290"/>
    <s v="HG_WC10162_Birth Cohort_MCS"/>
    <s v="DN940795I"/>
    <m/>
    <n v="330"/>
    <s v="passed"/>
    <s v="v1"/>
    <s v="XP"/>
    <s v="S4"/>
    <n v="101"/>
    <n v="101"/>
    <n v="0.49999996800000002"/>
    <s v="Agilent Pulldown"/>
    <n v="48"/>
    <n v="5726124.4166999999"/>
  </r>
  <r>
    <s v="NovaSeq"/>
    <x v="4"/>
    <x v="5"/>
    <n v="4"/>
    <n v="93290"/>
    <s v="HG_WC10162_Birth Cohort_MCS"/>
    <s v="DN940748B"/>
    <m/>
    <n v="330"/>
    <s v="passed"/>
    <s v="v1"/>
    <s v="XP"/>
    <s v="S4"/>
    <n v="101"/>
    <n v="101"/>
    <n v="1.0526315E-2"/>
    <s v="Agilent Pulldown"/>
    <n v="1"/>
    <n v="5857102"/>
  </r>
  <r>
    <s v="NovaSeq"/>
    <x v="4"/>
    <x v="5"/>
    <n v="4"/>
    <n v="93290"/>
    <s v="HG_WC10162_Birth Cohort_MCS"/>
    <s v="DN940749C"/>
    <m/>
    <n v="330"/>
    <s v="passed"/>
    <s v="v1"/>
    <s v="XP"/>
    <s v="S4"/>
    <n v="101"/>
    <n v="101"/>
    <n v="0.52631574999999997"/>
    <s v="Agilent Pulldown"/>
    <n v="50"/>
    <n v="5901878.0800000001"/>
  </r>
  <r>
    <s v="NovaSeq"/>
    <x v="4"/>
    <x v="5"/>
    <n v="4"/>
    <n v="93290"/>
    <s v="HG_WC10162_Birth Cohort_MCS"/>
    <s v="DN940795I"/>
    <m/>
    <n v="330"/>
    <s v="passed"/>
    <s v="v1"/>
    <s v="XP"/>
    <s v="S4"/>
    <n v="101"/>
    <n v="101"/>
    <n v="0.18947367000000001"/>
    <s v="Agilent Pulldown"/>
    <n v="18"/>
    <n v="6112907.0555999996"/>
  </r>
  <r>
    <s v="NovaSeq"/>
    <x v="4"/>
    <x v="5"/>
    <n v="4"/>
    <n v="93290"/>
    <s v="HG_WC10162_Birth Cohort_MCS"/>
    <s v="DN940796J"/>
    <m/>
    <n v="330"/>
    <s v="passed"/>
    <s v="v1"/>
    <s v="XP"/>
    <s v="S4"/>
    <n v="101"/>
    <n v="101"/>
    <n v="0.27368418999999999"/>
    <s v="Agilent Pulldown"/>
    <n v="26"/>
    <n v="6311119.9615000002"/>
  </r>
  <r>
    <s v="NovaSeq"/>
    <x v="4"/>
    <x v="5"/>
    <n v="1"/>
    <n v="93291"/>
    <s v="HG_WC10162_Birth Cohort_MCS"/>
    <s v="DN940743T"/>
    <m/>
    <n v="330"/>
    <s v="passed"/>
    <s v="v1"/>
    <s v="XP"/>
    <s v="S4"/>
    <n v="101"/>
    <n v="101"/>
    <n v="0.26041664999999897"/>
    <s v="Agilent Pulldown"/>
    <n v="25"/>
    <n v="5714114.1200000001"/>
  </r>
  <r>
    <s v="NovaSeq"/>
    <x v="4"/>
    <x v="5"/>
    <n v="1"/>
    <n v="93291"/>
    <s v="HG_WC10162_Birth Cohort_MCS"/>
    <s v="DN940744U"/>
    <m/>
    <n v="330"/>
    <s v="passed"/>
    <s v="v1"/>
    <s v="XP"/>
    <s v="S4"/>
    <n v="101"/>
    <n v="101"/>
    <n v="0.20833331999999899"/>
    <s v="Agilent Pulldown"/>
    <n v="20"/>
    <n v="5733967.5499999998"/>
  </r>
  <r>
    <s v="NovaSeq"/>
    <x v="4"/>
    <x v="5"/>
    <n v="1"/>
    <n v="93291"/>
    <s v="HG_WC10162_Birth Cohort_MCS"/>
    <s v="DN940790D"/>
    <m/>
    <n v="330"/>
    <s v="passed"/>
    <s v="v1"/>
    <s v="XP"/>
    <s v="S4"/>
    <n v="101"/>
    <n v="101"/>
    <n v="0.24999998399999901"/>
    <s v="Agilent Pulldown"/>
    <n v="24"/>
    <n v="5732132.1666999999"/>
  </r>
  <r>
    <s v="NovaSeq"/>
    <x v="4"/>
    <x v="5"/>
    <n v="1"/>
    <n v="93291"/>
    <s v="HG_WC10162_Birth Cohort_MCS"/>
    <s v="DN940791E"/>
    <m/>
    <n v="330"/>
    <s v="passed"/>
    <s v="v1"/>
    <s v="XP"/>
    <s v="S4"/>
    <n v="101"/>
    <n v="101"/>
    <n v="0.28124998199999901"/>
    <s v="Agilent Pulldown"/>
    <n v="27"/>
    <n v="5825628.9630000005"/>
  </r>
  <r>
    <s v="NovaSeq"/>
    <x v="4"/>
    <x v="5"/>
    <n v="2"/>
    <n v="93291"/>
    <s v="HG_WC10162_Birth Cohort_MCS"/>
    <s v="DN940744U"/>
    <m/>
    <n v="330"/>
    <s v="passed"/>
    <s v="v1"/>
    <s v="XP"/>
    <s v="S4"/>
    <n v="101"/>
    <n v="101"/>
    <n v="0.49999996800000002"/>
    <s v="Agilent Pulldown"/>
    <n v="48"/>
    <n v="5636783.0833000001"/>
  </r>
  <r>
    <s v="NovaSeq"/>
    <x v="4"/>
    <x v="5"/>
    <n v="2"/>
    <n v="93291"/>
    <s v="HG_WC10162_Birth Cohort_MCS"/>
    <s v="DN940791E"/>
    <m/>
    <n v="330"/>
    <s v="passed"/>
    <s v="v1"/>
    <s v="XP"/>
    <s v="S4"/>
    <n v="101"/>
    <n v="101"/>
    <n v="0.39583330799999999"/>
    <s v="Agilent Pulldown"/>
    <n v="38"/>
    <n v="5656446.7895"/>
  </r>
  <r>
    <s v="NovaSeq"/>
    <x v="4"/>
    <x v="5"/>
    <n v="2"/>
    <n v="93291"/>
    <s v="HG_WC10162_Birth Cohort_MCS"/>
    <s v="DN940792F"/>
    <m/>
    <n v="330"/>
    <s v="passed"/>
    <s v="v1"/>
    <s v="XP"/>
    <s v="S4"/>
    <n v="101"/>
    <n v="101"/>
    <n v="0.10416665999999999"/>
    <s v="Agilent Pulldown"/>
    <n v="10"/>
    <n v="6111780.2000000002"/>
  </r>
  <r>
    <s v="NovaSeq"/>
    <x v="4"/>
    <x v="5"/>
    <n v="3"/>
    <n v="93291"/>
    <s v="HG_WC10162_Birth Cohort_MCS"/>
    <s v="DN940744U"/>
    <m/>
    <n v="330"/>
    <s v="passed"/>
    <s v="v1"/>
    <s v="XP"/>
    <s v="S4"/>
    <n v="101"/>
    <n v="101"/>
    <n v="6.2499995999999898E-2"/>
    <s v="Agilent Pulldown"/>
    <n v="6"/>
    <n v="5726516.1666999999"/>
  </r>
  <r>
    <s v="NovaSeq"/>
    <x v="4"/>
    <x v="5"/>
    <n v="3"/>
    <n v="93291"/>
    <s v="HG_WC10162_Birth Cohort_MCS"/>
    <s v="DN940745V"/>
    <m/>
    <n v="330"/>
    <s v="passed"/>
    <s v="v1"/>
    <s v="XP"/>
    <s v="S4"/>
    <n v="101"/>
    <n v="101"/>
    <n v="0.41666663999999998"/>
    <s v="Agilent Pulldown"/>
    <n v="40"/>
    <n v="5991155.25"/>
  </r>
  <r>
    <s v="NovaSeq"/>
    <x v="4"/>
    <x v="5"/>
    <n v="3"/>
    <n v="93291"/>
    <s v="HG_WC10162_Birth Cohort_MCS"/>
    <s v="DN940792F"/>
    <m/>
    <n v="330"/>
    <s v="passed"/>
    <s v="v1"/>
    <s v="XP"/>
    <s v="S4"/>
    <n v="101"/>
    <n v="101"/>
    <n v="0.52083330000000005"/>
    <s v="Agilent Pulldown"/>
    <n v="50"/>
    <n v="5595272.9800000004"/>
  </r>
  <r>
    <s v="NovaSeq"/>
    <x v="4"/>
    <x v="5"/>
    <n v="4"/>
    <n v="93291"/>
    <s v="HG_WC10162_Birth Cohort_MCS"/>
    <s v="DN940746W"/>
    <m/>
    <n v="330"/>
    <s v="passed"/>
    <s v="v1"/>
    <s v="XP"/>
    <s v="S4"/>
    <n v="101"/>
    <n v="101"/>
    <n v="0.52083330000000005"/>
    <s v="Agilent Pulldown"/>
    <n v="50"/>
    <n v="5654858.9000000004"/>
  </r>
  <r>
    <s v="NovaSeq"/>
    <x v="4"/>
    <x v="5"/>
    <n v="4"/>
    <n v="93291"/>
    <s v="HG_WC10162_Birth Cohort_MCS"/>
    <s v="DN940793G"/>
    <m/>
    <n v="330"/>
    <s v="passed"/>
    <s v="v1"/>
    <s v="XP"/>
    <s v="S4"/>
    <n v="101"/>
    <n v="101"/>
    <n v="0.24999998399999901"/>
    <s v="Agilent Pulldown"/>
    <n v="24"/>
    <n v="6112479.375"/>
  </r>
  <r>
    <s v="NovaSeq"/>
    <x v="4"/>
    <x v="5"/>
    <n v="4"/>
    <n v="93291"/>
    <s v="HG_WC10162_Birth Cohort_MCS"/>
    <s v="DN940794H"/>
    <m/>
    <n v="330"/>
    <s v="passed"/>
    <s v="v1"/>
    <s v="XP"/>
    <s v="S4"/>
    <n v="101"/>
    <n v="101"/>
    <n v="0.229166651999999"/>
    <s v="Agilent Pulldown"/>
    <n v="22"/>
    <n v="5913966.5455"/>
  </r>
  <r>
    <s v="NovaSeq"/>
    <x v="4"/>
    <x v="5"/>
    <n v="1"/>
    <n v="93352"/>
    <s v="HG_WC10162_Birth Cohort_MCS"/>
    <s v="DN940712M"/>
    <m/>
    <n v="330"/>
    <s v="passed"/>
    <s v="v1"/>
    <s v="XP"/>
    <s v="S4"/>
    <n v="101"/>
    <n v="101"/>
    <n v="0.33333331199999999"/>
    <s v="Agilent Pulldown"/>
    <n v="32"/>
    <n v="5624371.8125"/>
  </r>
  <r>
    <s v="NovaSeq"/>
    <x v="4"/>
    <x v="5"/>
    <n v="1"/>
    <n v="93352"/>
    <s v="HG_WC10162_Birth Cohort_MCS"/>
    <s v="DN940713N"/>
    <m/>
    <n v="330"/>
    <s v="passed"/>
    <s v="v1"/>
    <s v="XP"/>
    <s v="S4"/>
    <n v="101"/>
    <n v="101"/>
    <n v="0.17708332199999999"/>
    <s v="Agilent Pulldown"/>
    <n v="17"/>
    <n v="5842586.4117999999"/>
  </r>
  <r>
    <s v="NovaSeq"/>
    <x v="4"/>
    <x v="5"/>
    <n v="1"/>
    <n v="93352"/>
    <s v="HG_WC10162_Birth Cohort_MCS"/>
    <s v="DN940717R"/>
    <m/>
    <n v="330"/>
    <s v="passed"/>
    <s v="v1"/>
    <s v="XP"/>
    <s v="S4"/>
    <n v="101"/>
    <n v="101"/>
    <n v="0.43749997200000001"/>
    <s v="Agilent Pulldown"/>
    <n v="42"/>
    <n v="5745685.1666999999"/>
  </r>
  <r>
    <s v="NovaSeq"/>
    <x v="4"/>
    <x v="5"/>
    <n v="1"/>
    <n v="93352"/>
    <s v="HG_WC10162_Birth Cohort_MCS"/>
    <s v="DN940718S"/>
    <m/>
    <n v="330"/>
    <s v="passed"/>
    <s v="v1"/>
    <s v="XP"/>
    <s v="S4"/>
    <n v="101"/>
    <n v="101"/>
    <n v="5.2083329999999997E-2"/>
    <s v="Agilent Pulldown"/>
    <n v="5"/>
    <n v="5168997.5999999996"/>
  </r>
  <r>
    <s v="NovaSeq"/>
    <x v="4"/>
    <x v="5"/>
    <n v="2"/>
    <n v="93352"/>
    <s v="HG_WC10162_Birth Cohort_MCS"/>
    <s v="DN940713N"/>
    <m/>
    <n v="330"/>
    <s v="passed"/>
    <s v="v1"/>
    <s v="XP"/>
    <s v="S4"/>
    <n v="101"/>
    <n v="101"/>
    <n v="0.114583326"/>
    <s v="Agilent Pulldown"/>
    <n v="11"/>
    <n v="4876948.2726999996"/>
  </r>
  <r>
    <s v="NovaSeq"/>
    <x v="4"/>
    <x v="5"/>
    <n v="2"/>
    <n v="93352"/>
    <s v="HG_WC10162_Birth Cohort_MCS"/>
    <s v="DN940714O"/>
    <m/>
    <n v="330"/>
    <s v="passed"/>
    <s v="v1"/>
    <s v="XP"/>
    <s v="S4"/>
    <n v="101"/>
    <n v="101"/>
    <n v="0.37499997600000001"/>
    <s v="Agilent Pulldown"/>
    <n v="36"/>
    <n v="5556186.25"/>
  </r>
  <r>
    <s v="NovaSeq"/>
    <x v="4"/>
    <x v="5"/>
    <n v="2"/>
    <n v="93352"/>
    <s v="HG_WC10162_Birth Cohort_MCS"/>
    <s v="DN940719T"/>
    <m/>
    <n v="330"/>
    <s v="passed"/>
    <s v="v1"/>
    <s v="XP"/>
    <s v="S4"/>
    <n v="101"/>
    <n v="101"/>
    <n v="0.14583332399999999"/>
    <s v="Agilent Pulldown"/>
    <n v="14"/>
    <n v="5638048.3570999997"/>
  </r>
  <r>
    <s v="NovaSeq"/>
    <x v="4"/>
    <x v="5"/>
    <n v="2"/>
    <n v="93352"/>
    <s v="HG_WC10162_Birth Cohort_MCS"/>
    <s v="DN940720M"/>
    <m/>
    <n v="330"/>
    <s v="passed"/>
    <s v="v1"/>
    <s v="XP"/>
    <s v="S4"/>
    <n v="101"/>
    <n v="101"/>
    <n v="0.36458330999999999"/>
    <s v="Agilent Pulldown"/>
    <n v="35"/>
    <n v="5938773.9143000003"/>
  </r>
  <r>
    <s v="NovaSeq"/>
    <x v="4"/>
    <x v="5"/>
    <n v="3"/>
    <n v="93352"/>
    <s v="HG_WC10162_Birth Cohort_MCS"/>
    <s v="DN940713N"/>
    <m/>
    <n v="330"/>
    <s v="passed"/>
    <s v="v1"/>
    <s v="XP"/>
    <s v="S4"/>
    <n v="101"/>
    <n v="101"/>
    <n v="0.52083330000000005"/>
    <s v="Agilent Pulldown"/>
    <n v="50"/>
    <n v="5835743.7800000003"/>
  </r>
  <r>
    <s v="NovaSeq"/>
    <x v="4"/>
    <x v="5"/>
    <n v="3"/>
    <n v="93352"/>
    <s v="HG_WC10162_Birth Cohort_MCS"/>
    <s v="DN940718S"/>
    <m/>
    <n v="330"/>
    <s v="passed"/>
    <s v="v1"/>
    <s v="XP"/>
    <s v="S4"/>
    <n v="101"/>
    <n v="101"/>
    <n v="0.29166664799999997"/>
    <s v="Agilent Pulldown"/>
    <n v="28"/>
    <n v="6338955.75"/>
  </r>
  <r>
    <s v="NovaSeq"/>
    <x v="4"/>
    <x v="5"/>
    <n v="3"/>
    <n v="93352"/>
    <s v="HG_WC10162_Birth Cohort_MCS"/>
    <s v="DN940719T"/>
    <m/>
    <n v="330"/>
    <s v="passed"/>
    <s v="v1"/>
    <s v="XP"/>
    <s v="S4"/>
    <n v="101"/>
    <n v="101"/>
    <n v="0.18749998799999901"/>
    <s v="Agilent Pulldown"/>
    <n v="18"/>
    <n v="5652195.1666999999"/>
  </r>
  <r>
    <s v="NovaSeq"/>
    <x v="5"/>
    <x v="5"/>
    <n v="4"/>
    <n v="93352"/>
    <s v="HG_WC10162_Birth Cohort_MCS"/>
    <s v="DN940773C"/>
    <m/>
    <n v="330"/>
    <s v="passed"/>
    <s v="v1"/>
    <s v="XP"/>
    <s v="S4"/>
    <n v="101"/>
    <n v="101"/>
    <n v="0.28124998199999901"/>
    <s v="Agilent Pulldown"/>
    <n v="27"/>
    <n v="5836327.9630000005"/>
  </r>
  <r>
    <s v="NovaSeq"/>
    <x v="5"/>
    <x v="5"/>
    <n v="4"/>
    <n v="93352"/>
    <s v="HG_WC10162_Birth Cohort_MCS"/>
    <s v="DN940774D"/>
    <m/>
    <n v="330"/>
    <s v="passed"/>
    <s v="v1"/>
    <s v="XP"/>
    <s v="S4"/>
    <n v="101"/>
    <n v="101"/>
    <n v="0.18749998799999901"/>
    <s v="Agilent Pulldown"/>
    <n v="18"/>
    <n v="6013989.5"/>
  </r>
  <r>
    <s v="NovaSeq"/>
    <x v="5"/>
    <x v="5"/>
    <n v="4"/>
    <n v="93352"/>
    <s v="HG_WC10162_Birth Cohort_MCS"/>
    <s v="DN940780B"/>
    <m/>
    <n v="330"/>
    <s v="passed"/>
    <s v="v1"/>
    <s v="XP"/>
    <s v="S4"/>
    <n v="101"/>
    <n v="101"/>
    <n v="0.29166664799999997"/>
    <s v="Agilent Pulldown"/>
    <n v="28"/>
    <n v="5829317.6786000002"/>
  </r>
  <r>
    <s v="NovaSeq"/>
    <x v="5"/>
    <x v="5"/>
    <n v="4"/>
    <n v="93352"/>
    <s v="HG_WC10162_Birth Cohort_MCS"/>
    <s v="DN940781C"/>
    <m/>
    <n v="330"/>
    <s v="passed"/>
    <s v="v1"/>
    <s v="XP"/>
    <s v="S4"/>
    <n v="101"/>
    <n v="101"/>
    <n v="0.23958331799999899"/>
    <s v="Agilent Pulldown"/>
    <n v="23"/>
    <n v="5884306.6522000004"/>
  </r>
  <r>
    <s v="MiSeq"/>
    <x v="0"/>
    <x v="6"/>
    <n v="1"/>
    <n v="93010"/>
    <s v="MQ R and D 2014"/>
    <m/>
    <s v="600V3"/>
    <m/>
    <m/>
    <m/>
    <m/>
    <m/>
    <m/>
    <m/>
    <n v="0.99999999900000003"/>
    <s v="Pre-quality controlled"/>
    <n v="37"/>
    <n v="126135.2162"/>
  </r>
  <r>
    <s v="MiSeq"/>
    <x v="0"/>
    <x v="6"/>
    <n v="1"/>
    <n v="93080"/>
    <s v="MQ R and D 2014"/>
    <m/>
    <s v="600V3"/>
    <m/>
    <m/>
    <m/>
    <m/>
    <m/>
    <m/>
    <m/>
    <n v="0.99999998700000003"/>
    <s v="Pre-quality controlled"/>
    <n v="49"/>
    <n v="98693.367299999998"/>
  </r>
  <r>
    <s v="NovaSeq"/>
    <x v="0"/>
    <x v="6"/>
    <n v="4"/>
    <n v="93296"/>
    <s v="MQ R and D 2014"/>
    <m/>
    <m/>
    <n v="338"/>
    <s v="passed"/>
    <s v="v1.5"/>
    <s v="XP"/>
    <s v="S4"/>
    <n v="151"/>
    <n v="151"/>
    <n v="0.84482757100000005"/>
    <s v="Pre-quality controlled"/>
    <n v="49"/>
    <n v="10942318.020400001"/>
  </r>
  <r>
    <s v="NovaSeq"/>
    <x v="6"/>
    <x v="7"/>
    <n v="1"/>
    <n v="93242"/>
    <s v="Mutational variability in oesophagus in areas of high SCC incidence_WGS"/>
    <s v="DN640619V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1"/>
    <n v="93242"/>
    <s v="Mutational variability in oesophagus in areas of high SCC incidence_WGS"/>
    <s v="DN866279V"/>
    <m/>
    <n v="338"/>
    <s v="passed"/>
    <s v="v1.5"/>
    <s v="No XP"/>
    <s v="S4"/>
    <n v="151"/>
    <n v="151"/>
    <n v="0.21276595000000001"/>
    <s v="Agilent Pulldown"/>
    <n v="10"/>
    <m/>
  </r>
  <r>
    <s v="NovaSeq"/>
    <x v="6"/>
    <x v="7"/>
    <n v="1"/>
    <n v="93242"/>
    <s v="Mutational variability in oesophagus in areas of high SCC incidence_WGS"/>
    <s v="DN866280O"/>
    <m/>
    <n v="338"/>
    <s v="passed"/>
    <s v="v1.5"/>
    <s v="No XP"/>
    <s v="S4"/>
    <n v="151"/>
    <n v="151"/>
    <n v="0.14893616500000001"/>
    <s v="Agilent Pulldown"/>
    <n v="7"/>
    <m/>
  </r>
  <r>
    <s v="NovaSeq"/>
    <x v="6"/>
    <x v="7"/>
    <n v="1"/>
    <n v="93242"/>
    <s v="Mutational variability in oesophagus in areas of high SCC incidence_WGS"/>
    <s v="DN919915T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1"/>
    <n v="93242"/>
    <s v="Mutational variability in oesophagus in areas of high SCC incidence_WGS"/>
    <s v="DN948404M"/>
    <m/>
    <n v="338"/>
    <s v="passed"/>
    <s v="v1.5"/>
    <s v="No XP"/>
    <s v="S4"/>
    <n v="151"/>
    <n v="151"/>
    <n v="0.46808508999999998"/>
    <s v="Agilent Pulldown"/>
    <n v="22"/>
    <m/>
  </r>
  <r>
    <s v="NovaSeq"/>
    <x v="6"/>
    <x v="7"/>
    <n v="2"/>
    <n v="93242"/>
    <s v="Mutational variability in oesophagus in areas of high SCC incidence_WGS"/>
    <s v="DN640619V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2"/>
    <n v="93242"/>
    <s v="Mutational variability in oesophagus in areas of high SCC incidence_WGS"/>
    <s v="DN866279V"/>
    <m/>
    <n v="338"/>
    <s v="passed"/>
    <s v="v1.5"/>
    <s v="No XP"/>
    <s v="S4"/>
    <n v="151"/>
    <n v="151"/>
    <n v="0.21276595000000001"/>
    <s v="Agilent Pulldown"/>
    <n v="10"/>
    <m/>
  </r>
  <r>
    <s v="NovaSeq"/>
    <x v="6"/>
    <x v="7"/>
    <n v="2"/>
    <n v="93242"/>
    <s v="Mutational variability in oesophagus in areas of high SCC incidence_WGS"/>
    <s v="DN866280O"/>
    <m/>
    <n v="338"/>
    <s v="passed"/>
    <s v="v1.5"/>
    <s v="No XP"/>
    <s v="S4"/>
    <n v="151"/>
    <n v="151"/>
    <n v="0.14893616500000001"/>
    <s v="Agilent Pulldown"/>
    <n v="7"/>
    <m/>
  </r>
  <r>
    <s v="NovaSeq"/>
    <x v="6"/>
    <x v="7"/>
    <n v="2"/>
    <n v="93242"/>
    <s v="Mutational variability in oesophagus in areas of high SCC incidence_WGS"/>
    <s v="DN919915T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2"/>
    <n v="93242"/>
    <s v="Mutational variability in oesophagus in areas of high SCC incidence_WGS"/>
    <s v="DN948404M"/>
    <m/>
    <n v="338"/>
    <s v="passed"/>
    <s v="v1.5"/>
    <s v="No XP"/>
    <s v="S4"/>
    <n v="151"/>
    <n v="151"/>
    <n v="0.46808508999999998"/>
    <s v="Agilent Pulldown"/>
    <n v="22"/>
    <m/>
  </r>
  <r>
    <s v="NovaSeq"/>
    <x v="6"/>
    <x v="7"/>
    <n v="3"/>
    <n v="93242"/>
    <s v="Mutational variability in oesophagus in areas of high SCC incidence_WGS"/>
    <s v="DN640619V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3"/>
    <n v="93242"/>
    <s v="Mutational variability in oesophagus in areas of high SCC incidence_WGS"/>
    <s v="DN866279V"/>
    <m/>
    <n v="338"/>
    <s v="passed"/>
    <s v="v1.5"/>
    <s v="No XP"/>
    <s v="S4"/>
    <n v="151"/>
    <n v="151"/>
    <n v="0.21276595000000001"/>
    <s v="Agilent Pulldown"/>
    <n v="10"/>
    <m/>
  </r>
  <r>
    <s v="NovaSeq"/>
    <x v="6"/>
    <x v="7"/>
    <n v="3"/>
    <n v="93242"/>
    <s v="Mutational variability in oesophagus in areas of high SCC incidence_WGS"/>
    <s v="DN866280O"/>
    <m/>
    <n v="338"/>
    <s v="passed"/>
    <s v="v1.5"/>
    <s v="No XP"/>
    <s v="S4"/>
    <n v="151"/>
    <n v="151"/>
    <n v="0.14893616500000001"/>
    <s v="Agilent Pulldown"/>
    <n v="7"/>
    <m/>
  </r>
  <r>
    <s v="NovaSeq"/>
    <x v="6"/>
    <x v="7"/>
    <n v="3"/>
    <n v="93242"/>
    <s v="Mutational variability in oesophagus in areas of high SCC incidence_WGS"/>
    <s v="DN919915T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3"/>
    <n v="93242"/>
    <s v="Mutational variability in oesophagus in areas of high SCC incidence_WGS"/>
    <s v="DN948404M"/>
    <m/>
    <n v="338"/>
    <s v="passed"/>
    <s v="v1.5"/>
    <s v="No XP"/>
    <s v="S4"/>
    <n v="151"/>
    <n v="151"/>
    <n v="0.46808508999999998"/>
    <s v="Agilent Pulldown"/>
    <n v="22"/>
    <m/>
  </r>
  <r>
    <s v="NovaSeq"/>
    <x v="6"/>
    <x v="7"/>
    <n v="4"/>
    <n v="93242"/>
    <s v="Mutational variability in oesophagus in areas of high SCC incidence_WGS"/>
    <s v="DN640619V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4"/>
    <n v="93242"/>
    <s v="Mutational variability in oesophagus in areas of high SCC incidence_WGS"/>
    <s v="DN866279V"/>
    <m/>
    <n v="338"/>
    <s v="passed"/>
    <s v="v1.5"/>
    <s v="No XP"/>
    <s v="S4"/>
    <n v="151"/>
    <n v="151"/>
    <n v="0.21276595000000001"/>
    <s v="Agilent Pulldown"/>
    <n v="10"/>
    <m/>
  </r>
  <r>
    <s v="NovaSeq"/>
    <x v="6"/>
    <x v="7"/>
    <n v="4"/>
    <n v="93242"/>
    <s v="Mutational variability in oesophagus in areas of high SCC incidence_WGS"/>
    <s v="DN866280O"/>
    <m/>
    <n v="338"/>
    <s v="passed"/>
    <s v="v1.5"/>
    <s v="No XP"/>
    <s v="S4"/>
    <n v="151"/>
    <n v="151"/>
    <n v="0.14893616500000001"/>
    <s v="Agilent Pulldown"/>
    <n v="7"/>
    <m/>
  </r>
  <r>
    <s v="NovaSeq"/>
    <x v="6"/>
    <x v="7"/>
    <n v="4"/>
    <n v="93242"/>
    <s v="Mutational variability in oesophagus in areas of high SCC incidence_WGS"/>
    <s v="DN919915T"/>
    <m/>
    <n v="338"/>
    <s v="passed"/>
    <s v="v1.5"/>
    <s v="No XP"/>
    <s v="S4"/>
    <n v="151"/>
    <n v="151"/>
    <n v="8.5106379999999995E-2"/>
    <s v="Agilent Pulldown"/>
    <n v="4"/>
    <m/>
  </r>
  <r>
    <s v="NovaSeq"/>
    <x v="6"/>
    <x v="7"/>
    <n v="4"/>
    <n v="93242"/>
    <s v="Mutational variability in oesophagus in areas of high SCC incidence_WGS"/>
    <s v="DN948404M"/>
    <m/>
    <n v="338"/>
    <s v="passed"/>
    <s v="v1.5"/>
    <s v="No XP"/>
    <s v="S4"/>
    <n v="151"/>
    <n v="151"/>
    <n v="0.46808508999999998"/>
    <s v="Agilent Pulldown"/>
    <n v="22"/>
    <m/>
  </r>
  <r>
    <s v="NovaSeq"/>
    <x v="3"/>
    <x v="8"/>
    <n v="1"/>
    <n v="93379"/>
    <s v="RVI Programme - Heron Library"/>
    <s v="HT-138509"/>
    <m/>
    <n v="545"/>
    <s v="passed"/>
    <s v="v1.5"/>
    <s v="XP"/>
    <s v="SP"/>
    <n v="221"/>
    <n v="201"/>
    <n v="0.24999993599999901"/>
    <s v="Sanger_tailed_artic_v1_384"/>
    <n v="96"/>
    <n v="634118.625"/>
  </r>
  <r>
    <s v="NovaSeq"/>
    <x v="3"/>
    <x v="8"/>
    <n v="1"/>
    <n v="93379"/>
    <s v="RVI Programme - Heron Library"/>
    <s v="HT-138510"/>
    <m/>
    <n v="545"/>
    <s v="passed"/>
    <s v="v1.5"/>
    <s v="XP"/>
    <s v="SP"/>
    <n v="221"/>
    <n v="201"/>
    <n v="0.24999993599999901"/>
    <s v="Sanger_tailed_artic_v1_384"/>
    <n v="96"/>
    <n v="757006.10419999994"/>
  </r>
  <r>
    <s v="NovaSeq"/>
    <x v="3"/>
    <x v="8"/>
    <n v="1"/>
    <n v="93379"/>
    <s v="RVI Programme - Heron Library"/>
    <s v="HT-138511"/>
    <m/>
    <n v="545"/>
    <s v="passed"/>
    <s v="v1.5"/>
    <s v="XP"/>
    <s v="SP"/>
    <n v="221"/>
    <n v="201"/>
    <n v="0.24999993599999901"/>
    <s v="Sanger_tailed_artic_v1_384"/>
    <n v="96"/>
    <n v="475645.96879999997"/>
  </r>
  <r>
    <s v="NovaSeq"/>
    <x v="3"/>
    <x v="8"/>
    <n v="1"/>
    <n v="93379"/>
    <s v="RVI Programme - Heron Library"/>
    <s v="HT-138513"/>
    <m/>
    <n v="545"/>
    <s v="passed"/>
    <s v="v1.5"/>
    <s v="XP"/>
    <s v="SP"/>
    <n v="221"/>
    <n v="201"/>
    <n v="0.24999993599999901"/>
    <s v="Sanger_tailed_artic_v1_384"/>
    <n v="96"/>
    <n v="393419.7708"/>
  </r>
  <r>
    <s v="NovaSeq"/>
    <x v="3"/>
    <x v="8"/>
    <n v="2"/>
    <n v="93379"/>
    <s v="RVI Programme - Heron Library"/>
    <s v="HT-138509"/>
    <m/>
    <n v="545"/>
    <s v="passed"/>
    <s v="v1.5"/>
    <s v="XP"/>
    <s v="SP"/>
    <n v="221"/>
    <n v="201"/>
    <n v="0.24999993599999901"/>
    <s v="Sanger_tailed_artic_v1_384"/>
    <n v="96"/>
    <n v="630076.55209999997"/>
  </r>
  <r>
    <s v="NovaSeq"/>
    <x v="3"/>
    <x v="8"/>
    <n v="2"/>
    <n v="93379"/>
    <s v="RVI Programme - Heron Library"/>
    <s v="HT-138510"/>
    <m/>
    <n v="545"/>
    <s v="passed"/>
    <s v="v1.5"/>
    <s v="XP"/>
    <s v="SP"/>
    <n v="221"/>
    <n v="201"/>
    <n v="0.24999993599999901"/>
    <s v="Sanger_tailed_artic_v1_384"/>
    <n v="96"/>
    <n v="752011.28130000003"/>
  </r>
  <r>
    <s v="NovaSeq"/>
    <x v="3"/>
    <x v="8"/>
    <n v="2"/>
    <n v="93379"/>
    <s v="RVI Programme - Heron Library"/>
    <s v="HT-138511"/>
    <m/>
    <n v="545"/>
    <s v="passed"/>
    <s v="v1.5"/>
    <s v="XP"/>
    <s v="SP"/>
    <n v="221"/>
    <n v="201"/>
    <n v="0.24999993599999901"/>
    <s v="Sanger_tailed_artic_v1_384"/>
    <n v="96"/>
    <n v="472889.86459999997"/>
  </r>
  <r>
    <s v="NovaSeq"/>
    <x v="3"/>
    <x v="8"/>
    <n v="2"/>
    <n v="93379"/>
    <s v="RVI Programme - Heron Library"/>
    <s v="HT-138513"/>
    <m/>
    <n v="545"/>
    <s v="passed"/>
    <s v="v1.5"/>
    <s v="XP"/>
    <s v="SP"/>
    <n v="221"/>
    <n v="201"/>
    <n v="0.24999993599999901"/>
    <s v="Sanger_tailed_artic_v1_384"/>
    <n v="96"/>
    <n v="391545.0937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NovaSeq"/>
    <x v="0"/>
    <x v="0"/>
    <n v="4"/>
    <n v="93296"/>
    <s v="Alternative Enzymes 2022 human genomes"/>
    <m/>
    <n v="338"/>
    <s v="passed"/>
    <s v="v1.5"/>
    <s v="XP"/>
    <s v="S4"/>
    <n v="151"/>
    <n v="151"/>
    <n v="1.7241379000000001E-2"/>
    <s v="Pre-quality controlled"/>
    <n v="1"/>
    <n v="290498475"/>
  </r>
  <r>
    <s v="NovaSeq"/>
    <x v="0"/>
    <x v="1"/>
    <n v="4"/>
    <n v="93296"/>
    <s v="Alternative Enzymes 2022 microbial genomes"/>
    <m/>
    <n v="338"/>
    <s v="passed"/>
    <s v="v1.5"/>
    <s v="XP"/>
    <s v="S4"/>
    <n v="151"/>
    <n v="151"/>
    <n v="0.13793103200000001"/>
    <s v="Pre-quality controlled"/>
    <n v="8"/>
    <n v="934583.75"/>
  </r>
  <r>
    <s v="NovaSeq"/>
    <x v="1"/>
    <x v="2"/>
    <n v="1"/>
    <n v="93294"/>
    <s v="Functional changes associated with drivers in chronic liver disease (exome)"/>
    <m/>
    <n v="338"/>
    <s v="passed"/>
    <s v="v1.5"/>
    <s v="XP"/>
    <s v="S4"/>
    <n v="151"/>
    <n v="151"/>
    <n v="1"/>
    <s v="Twist Pulldown"/>
    <n v="16"/>
    <n v="53789815.3125"/>
  </r>
  <r>
    <s v="NovaSeq"/>
    <x v="1"/>
    <x v="2"/>
    <n v="2"/>
    <n v="93294"/>
    <s v="Functional changes associated with drivers in chronic liver disease (exome)"/>
    <m/>
    <n v="338"/>
    <s v="passed"/>
    <s v="v1.5"/>
    <s v="XP"/>
    <s v="S4"/>
    <n v="151"/>
    <n v="151"/>
    <n v="0.99999998999999995"/>
    <s v="Twist Pulldown"/>
    <n v="22"/>
    <n v="38883371.045500003"/>
  </r>
  <r>
    <s v="NovaSeq"/>
    <x v="1"/>
    <x v="2"/>
    <n v="3"/>
    <n v="93294"/>
    <s v="Functional changes associated with drivers in chronic liver disease (exome)"/>
    <m/>
    <n v="338"/>
    <s v="passed"/>
    <s v="v1.5"/>
    <s v="XP"/>
    <s v="S4"/>
    <n v="151"/>
    <n v="151"/>
    <n v="0.99999998999999995"/>
    <s v="Twist Pulldown"/>
    <n v="22"/>
    <n v="39057516.272699997"/>
  </r>
  <r>
    <s v="NovaSeq"/>
    <x v="1"/>
    <x v="2"/>
    <n v="4"/>
    <n v="93294"/>
    <s v="Functional changes associated with drivers in chronic liver disease (exome)"/>
    <m/>
    <n v="338"/>
    <s v="passed"/>
    <s v="v1.5"/>
    <s v="XP"/>
    <s v="S4"/>
    <n v="151"/>
    <n v="151"/>
    <n v="0.99999998999999995"/>
    <s v="Twist Pulldown"/>
    <n v="22"/>
    <n v="39177371.636399999"/>
  </r>
  <r>
    <s v="NovaSeq"/>
    <x v="1"/>
    <x v="2"/>
    <n v="1"/>
    <n v="93295"/>
    <s v="Functional changes associated with drivers in chronic liver disease (exome)"/>
    <m/>
    <n v="338"/>
    <s v="passed"/>
    <s v="v1.5"/>
    <s v="XP"/>
    <s v="S4"/>
    <n v="151"/>
    <n v="151"/>
    <n v="0.99999998800000001"/>
    <s v="Twist Pulldown"/>
    <n v="26"/>
    <n v="34186340.153800003"/>
  </r>
  <r>
    <s v="NovaSeq"/>
    <x v="1"/>
    <x v="2"/>
    <n v="2"/>
    <n v="93295"/>
    <s v="Functional changes associated with drivers in chronic liver disease (exome)"/>
    <m/>
    <n v="338"/>
    <s v="passed"/>
    <s v="v1.5"/>
    <s v="XP"/>
    <s v="S4"/>
    <n v="151"/>
    <n v="151"/>
    <n v="0.99999998800000001"/>
    <s v="Twist Pulldown"/>
    <n v="13"/>
    <n v="67276806.923099995"/>
  </r>
  <r>
    <s v="NovaSeq"/>
    <x v="1"/>
    <x v="2"/>
    <n v="3"/>
    <n v="93295"/>
    <s v="Functional changes associated with drivers in chronic liver disease (exome)"/>
    <m/>
    <n v="338"/>
    <s v="passed"/>
    <s v="v1.5"/>
    <s v="XP"/>
    <s v="S4"/>
    <n v="151"/>
    <n v="151"/>
    <n v="0.99999999299999998"/>
    <s v="Twist Pulldown"/>
    <n v="17"/>
    <n v="49678904.705899999"/>
  </r>
  <r>
    <s v="NovaSeq"/>
    <x v="1"/>
    <x v="2"/>
    <n v="4"/>
    <n v="93295"/>
    <s v="Functional changes associated with drivers in chronic liver disease (exome)"/>
    <m/>
    <n v="338"/>
    <s v="passed"/>
    <s v="v1.5"/>
    <s v="XP"/>
    <s v="S4"/>
    <n v="151"/>
    <n v="151"/>
    <n v="0.99999999299999998"/>
    <s v="Twist Pulldown"/>
    <n v="17"/>
    <n v="50940391.588200003"/>
  </r>
  <r>
    <s v="NovaSeq"/>
    <x v="1"/>
    <x v="2"/>
    <n v="1"/>
    <n v="93296"/>
    <s v="Functional changes associated with drivers in chronic liver disease (exome)"/>
    <m/>
    <n v="338"/>
    <s v="passed"/>
    <s v="v1.5"/>
    <s v="XP"/>
    <s v="S4"/>
    <n v="151"/>
    <n v="151"/>
    <n v="1"/>
    <s v="Twist Pulldown"/>
    <n v="16"/>
    <n v="57150071.625"/>
  </r>
  <r>
    <s v="NovaSeq"/>
    <x v="1"/>
    <x v="2"/>
    <n v="2"/>
    <n v="93296"/>
    <s v="Functional changes associated with drivers in chronic liver disease (exome)"/>
    <m/>
    <n v="338"/>
    <s v="passed"/>
    <s v="v1.5"/>
    <s v="XP"/>
    <s v="S4"/>
    <n v="151"/>
    <n v="151"/>
    <n v="0.99999998800000001"/>
    <s v="Twist Pulldown"/>
    <n v="26"/>
    <n v="35362786.769199997"/>
  </r>
  <r>
    <s v="NovaSeq"/>
    <x v="1"/>
    <x v="2"/>
    <n v="3"/>
    <n v="93296"/>
    <s v="Functional changes associated with drivers in chronic liver disease (exome)"/>
    <m/>
    <n v="338"/>
    <s v="passed"/>
    <s v="v1.5"/>
    <s v="XP"/>
    <s v="S4"/>
    <n v="151"/>
    <n v="151"/>
    <n v="0.99999998800000001"/>
    <s v="Twist Pulldown"/>
    <n v="26"/>
    <n v="34572409.576899998"/>
  </r>
  <r>
    <s v="HiSeq"/>
    <x v="2"/>
    <x v="3"/>
    <n v="1"/>
    <n v="93301"/>
    <s v="HCA Bone Marrow Wellcome LEAP RNA"/>
    <m/>
    <m/>
    <s v="passed"/>
    <m/>
    <m/>
    <m/>
    <m/>
    <m/>
    <n v="1"/>
    <s v="Chromium single cell 5 prime"/>
    <n v="2"/>
    <n v="4519056"/>
  </r>
  <r>
    <s v="HiSeq"/>
    <x v="2"/>
    <x v="3"/>
    <n v="2"/>
    <n v="93301"/>
    <s v="HCA Bone Marrow Wellcome LEAP RNA"/>
    <m/>
    <m/>
    <s v="passed"/>
    <m/>
    <m/>
    <m/>
    <m/>
    <m/>
    <n v="1"/>
    <s v="Chromium single cell 5 prime"/>
    <n v="2"/>
    <n v="4635952.5"/>
  </r>
  <r>
    <s v="NovaSeq"/>
    <x v="3"/>
    <x v="4"/>
    <n v="1"/>
    <n v="93378"/>
    <s v="Heron Project"/>
    <m/>
    <n v="545"/>
    <s v="passed"/>
    <s v="v1.5"/>
    <s v="XP"/>
    <s v="SP"/>
    <n v="221"/>
    <n v="201"/>
    <n v="0.99999974400000502"/>
    <s v="Sanger_tailed_artic_v1_384"/>
    <n v="384"/>
    <n v="511999.53129999997"/>
  </r>
  <r>
    <s v="NovaSeq"/>
    <x v="3"/>
    <x v="4"/>
    <n v="2"/>
    <n v="93378"/>
    <s v="Heron Project"/>
    <m/>
    <n v="545"/>
    <s v="passed"/>
    <s v="v1.5"/>
    <s v="XP"/>
    <s v="SP"/>
    <n v="221"/>
    <n v="201"/>
    <n v="0.99999974400000502"/>
    <s v="Sanger_tailed_artic_v1_384"/>
    <n v="384"/>
    <n v="556005.75780000002"/>
  </r>
  <r>
    <s v="NovaSeq"/>
    <x v="3"/>
    <x v="4"/>
    <n v="1"/>
    <n v="93381"/>
    <s v="Heron Project"/>
    <m/>
    <n v="545"/>
    <s v="passed"/>
    <s v="v1.5"/>
    <s v="XP"/>
    <s v="SP"/>
    <n v="221"/>
    <n v="201"/>
    <n v="0.99999998199999296"/>
    <s v="Sanger_tailed_artic_v1_384"/>
    <n v="382"/>
    <n v="534772.47640000004"/>
  </r>
  <r>
    <s v="NovaSeq"/>
    <x v="3"/>
    <x v="4"/>
    <n v="2"/>
    <n v="93381"/>
    <s v="Heron Project"/>
    <m/>
    <n v="545"/>
    <s v="passed"/>
    <s v="v1.5"/>
    <s v="XP"/>
    <s v="SP"/>
    <n v="221"/>
    <n v="201"/>
    <n v="0.99999974400000502"/>
    <s v="Sanger_tailed_artic_v1_384"/>
    <n v="384"/>
    <n v="474191.07030000002"/>
  </r>
  <r>
    <s v="NovaSeq"/>
    <x v="3"/>
    <x v="4"/>
    <n v="1"/>
    <n v="93382"/>
    <s v="Heron Project"/>
    <m/>
    <n v="545"/>
    <s v="passed"/>
    <s v="v1.5"/>
    <s v="XP"/>
    <s v="SP"/>
    <n v="221"/>
    <n v="201"/>
    <n v="0.99999974400000502"/>
    <s v="Sanger_tailed_artic_v1_384"/>
    <n v="384"/>
    <n v="557385.74479999999"/>
  </r>
  <r>
    <s v="NovaSeq"/>
    <x v="3"/>
    <x v="4"/>
    <n v="2"/>
    <n v="93382"/>
    <s v="Heron Project"/>
    <m/>
    <n v="545"/>
    <s v="passed"/>
    <s v="v1.5"/>
    <s v="XP"/>
    <s v="SP"/>
    <n v="221"/>
    <n v="201"/>
    <n v="0.99999974400000502"/>
    <s v="Sanger_tailed_artic_v1_384"/>
    <n v="384"/>
    <n v="558268.67449999996"/>
  </r>
  <r>
    <s v="NovaSeq"/>
    <x v="3"/>
    <x v="4"/>
    <n v="1"/>
    <n v="93383"/>
    <s v="Heron Project"/>
    <m/>
    <n v="545"/>
    <s v="passed"/>
    <s v="v1.5"/>
    <s v="XP"/>
    <s v="SP"/>
    <n v="221"/>
    <n v="201"/>
    <n v="0.99999974400000502"/>
    <s v="Sanger_tailed_artic_v1_384"/>
    <n v="384"/>
    <n v="515708.96610000002"/>
  </r>
  <r>
    <s v="NovaSeq"/>
    <x v="3"/>
    <x v="4"/>
    <n v="2"/>
    <n v="93383"/>
    <s v="Heron Project"/>
    <m/>
    <n v="545"/>
    <s v="passed"/>
    <s v="v1.5"/>
    <s v="XP"/>
    <s v="SP"/>
    <n v="221"/>
    <n v="201"/>
    <n v="0.99999974400000502"/>
    <s v="Sanger_tailed_artic_v1_384"/>
    <n v="384"/>
    <n v="556082.05989999999"/>
  </r>
  <r>
    <s v="NovaSeq"/>
    <x v="3"/>
    <x v="4"/>
    <n v="1"/>
    <n v="93384"/>
    <s v="Heron Project"/>
    <m/>
    <n v="545"/>
    <s v="passed"/>
    <s v="v1.5"/>
    <s v="XP"/>
    <s v="SP"/>
    <n v="221"/>
    <n v="201"/>
    <n v="0.99999974400000502"/>
    <s v="Sanger_tailed_artic_v1_384"/>
    <n v="384"/>
    <n v="541942.21089999995"/>
  </r>
  <r>
    <s v="NovaSeq"/>
    <x v="3"/>
    <x v="4"/>
    <n v="2"/>
    <n v="93384"/>
    <s v="Heron Project"/>
    <m/>
    <n v="545"/>
    <s v="passed"/>
    <s v="v1.5"/>
    <s v="XP"/>
    <s v="SP"/>
    <n v="221"/>
    <n v="201"/>
    <n v="0.99999974400000502"/>
    <s v="Sanger_tailed_artic_v1_384"/>
    <n v="384"/>
    <n v="540373.42969999998"/>
  </r>
  <r>
    <s v="NovaSeq"/>
    <x v="4"/>
    <x v="5"/>
    <n v="1"/>
    <n v="93290"/>
    <s v="HG_WC10162_Birth Cohort_MCS"/>
    <m/>
    <n v="330"/>
    <s v="passed"/>
    <s v="v1"/>
    <s v="XP"/>
    <s v="S4"/>
    <n v="101"/>
    <n v="101"/>
    <n v="0.99999993600000103"/>
    <s v="Agilent Pulldown"/>
    <n v="96"/>
    <n v="5997014.6875"/>
  </r>
  <r>
    <s v="NovaSeq"/>
    <x v="4"/>
    <x v="5"/>
    <n v="2"/>
    <n v="93290"/>
    <s v="HG_WC10162_Birth Cohort_MCS"/>
    <m/>
    <n v="330"/>
    <s v="passed"/>
    <s v="v1"/>
    <s v="XP"/>
    <s v="S4"/>
    <n v="101"/>
    <n v="101"/>
    <n v="0.99999993600000103"/>
    <s v="Agilent Pulldown"/>
    <n v="96"/>
    <n v="5997183.7396"/>
  </r>
  <r>
    <s v="NovaSeq"/>
    <x v="4"/>
    <x v="5"/>
    <n v="3"/>
    <n v="93290"/>
    <s v="HG_WC10162_Birth Cohort_MCS"/>
    <m/>
    <n v="330"/>
    <s v="passed"/>
    <s v="v1"/>
    <s v="XP"/>
    <s v="S4"/>
    <n v="101"/>
    <n v="101"/>
    <n v="0.99999993600000103"/>
    <s v="Agilent Pulldown"/>
    <n v="96"/>
    <n v="5974525.25"/>
  </r>
  <r>
    <s v="NovaSeq"/>
    <x v="4"/>
    <x v="5"/>
    <n v="4"/>
    <n v="93290"/>
    <s v="HG_WC10162_Birth Cohort_MCS"/>
    <m/>
    <n v="330"/>
    <s v="passed"/>
    <s v="v1"/>
    <s v="XP"/>
    <s v="S4"/>
    <n v="101"/>
    <n v="101"/>
    <n v="0.99999992500000101"/>
    <s v="Agilent Pulldown"/>
    <n v="95"/>
    <n v="6053394.2315999996"/>
  </r>
  <r>
    <s v="NovaSeq"/>
    <x v="4"/>
    <x v="5"/>
    <n v="1"/>
    <n v="93291"/>
    <s v="HG_WC10162_Birth Cohort_MCS"/>
    <m/>
    <n v="330"/>
    <s v="passed"/>
    <s v="v1"/>
    <s v="XP"/>
    <s v="S4"/>
    <n v="101"/>
    <n v="101"/>
    <n v="0.99999993600000103"/>
    <s v="Agilent Pulldown"/>
    <n v="96"/>
    <n v="5754118.3125"/>
  </r>
  <r>
    <s v="NovaSeq"/>
    <x v="4"/>
    <x v="5"/>
    <n v="2"/>
    <n v="93291"/>
    <s v="HG_WC10162_Birth Cohort_MCS"/>
    <m/>
    <n v="330"/>
    <s v="passed"/>
    <s v="v1"/>
    <s v="XP"/>
    <s v="S4"/>
    <n v="101"/>
    <n v="101"/>
    <n v="0.99999993600000103"/>
    <s v="Agilent Pulldown"/>
    <n v="96"/>
    <n v="5694045.5"/>
  </r>
  <r>
    <s v="NovaSeq"/>
    <x v="4"/>
    <x v="5"/>
    <n v="3"/>
    <n v="93291"/>
    <s v="HG_WC10162_Birth Cohort_MCS"/>
    <m/>
    <n v="330"/>
    <s v="passed"/>
    <s v="v1"/>
    <s v="XP"/>
    <s v="S4"/>
    <n v="101"/>
    <n v="101"/>
    <n v="0.99999993600000103"/>
    <s v="Agilent Pulldown"/>
    <n v="96"/>
    <n v="5768426.625"/>
  </r>
  <r>
    <s v="NovaSeq"/>
    <x v="4"/>
    <x v="5"/>
    <n v="4"/>
    <n v="93291"/>
    <s v="HG_WC10162_Birth Cohort_MCS"/>
    <m/>
    <n v="330"/>
    <s v="passed"/>
    <s v="v1"/>
    <s v="XP"/>
    <s v="S4"/>
    <n v="101"/>
    <n v="101"/>
    <n v="0.99999993600000103"/>
    <s v="Agilent Pulldown"/>
    <n v="96"/>
    <n v="5828642.8541999999"/>
  </r>
  <r>
    <s v="NovaSeq"/>
    <x v="4"/>
    <x v="5"/>
    <n v="1"/>
    <n v="93352"/>
    <s v="HG_WC10162_Birth Cohort_MCS"/>
    <m/>
    <n v="330"/>
    <s v="passed"/>
    <s v="v1"/>
    <s v="XP"/>
    <s v="S4"/>
    <n v="101"/>
    <n v="101"/>
    <n v="0.99999993600000103"/>
    <s v="Agilent Pulldown"/>
    <n v="96"/>
    <n v="5692371.1666999999"/>
  </r>
  <r>
    <s v="NovaSeq"/>
    <x v="4"/>
    <x v="5"/>
    <n v="2"/>
    <n v="93352"/>
    <s v="HG_WC10162_Birth Cohort_MCS"/>
    <m/>
    <n v="330"/>
    <s v="passed"/>
    <s v="v1"/>
    <s v="XP"/>
    <s v="S4"/>
    <n v="101"/>
    <n v="101"/>
    <n v="0.99999993600000103"/>
    <s v="Agilent Pulldown"/>
    <n v="96"/>
    <n v="5629780.2083000001"/>
  </r>
  <r>
    <s v="NovaSeq"/>
    <x v="4"/>
    <x v="5"/>
    <n v="3"/>
    <n v="93352"/>
    <s v="HG_WC10162_Birth Cohort_MCS"/>
    <m/>
    <n v="330"/>
    <s v="passed"/>
    <s v="v1"/>
    <s v="XP"/>
    <s v="S4"/>
    <n v="101"/>
    <n v="101"/>
    <n v="0.99999993600000103"/>
    <s v="Agilent Pulldown"/>
    <n v="96"/>
    <n v="5948098.5729"/>
  </r>
  <r>
    <s v="NovaSeq"/>
    <x v="5"/>
    <x v="5"/>
    <n v="4"/>
    <n v="93352"/>
    <s v="HG_WC10162_Birth Cohort_MCS"/>
    <m/>
    <n v="330"/>
    <s v="passed"/>
    <s v="v1"/>
    <s v="XP"/>
    <s v="S4"/>
    <n v="101"/>
    <n v="101"/>
    <n v="0.99999993600000103"/>
    <s v="Agilent Pulldown"/>
    <n v="96"/>
    <n v="5879089.7291999999"/>
  </r>
  <r>
    <s v="MiSeq"/>
    <x v="0"/>
    <x v="6"/>
    <n v="1"/>
    <n v="93010"/>
    <s v="MQ R and D 2014"/>
    <s v="600V3"/>
    <m/>
    <m/>
    <m/>
    <m/>
    <m/>
    <m/>
    <m/>
    <n v="0.99999999900000103"/>
    <s v="Pre-quality controlled"/>
    <n v="37"/>
    <n v="126135.2162"/>
  </r>
  <r>
    <s v="MiSeq"/>
    <x v="0"/>
    <x v="6"/>
    <n v="1"/>
    <n v="93080"/>
    <s v="MQ R and D 2014"/>
    <s v="600V3"/>
    <m/>
    <m/>
    <m/>
    <m/>
    <m/>
    <m/>
    <m/>
    <n v="0.99999998700000103"/>
    <s v="Pre-quality controlled"/>
    <n v="49"/>
    <n v="98693.367299999998"/>
  </r>
  <r>
    <s v="NovaSeq"/>
    <x v="0"/>
    <x v="6"/>
    <n v="4"/>
    <n v="93296"/>
    <s v="MQ R and D 2014"/>
    <m/>
    <n v="338"/>
    <s v="passed"/>
    <s v="v1.5"/>
    <s v="XP"/>
    <s v="S4"/>
    <n v="151"/>
    <n v="151"/>
    <n v="0.84482757100000005"/>
    <s v="Pre-quality controlled"/>
    <n v="49"/>
    <n v="10942318.020400001"/>
  </r>
  <r>
    <s v="NovaSeq"/>
    <x v="6"/>
    <x v="7"/>
    <n v="1"/>
    <n v="93242"/>
    <s v="Mutational variability in oesophagus in areas of high SCC incidence_WGS"/>
    <m/>
    <n v="338"/>
    <s v="passed"/>
    <s v="v1.5"/>
    <s v="No XP"/>
    <s v="S4"/>
    <n v="151"/>
    <n v="151"/>
    <n v="1"/>
    <s v="Agilent Pulldown"/>
    <n v="25"/>
    <m/>
  </r>
  <r>
    <s v="NovaSeq"/>
    <x v="6"/>
    <x v="7"/>
    <n v="2"/>
    <n v="93242"/>
    <s v="Mutational variability in oesophagus in areas of high SCC incidence_WGS"/>
    <m/>
    <n v="338"/>
    <s v="passed"/>
    <s v="v1.5"/>
    <s v="No XP"/>
    <s v="S4"/>
    <n v="151"/>
    <n v="151"/>
    <n v="1"/>
    <s v="Agilent Pulldown"/>
    <n v="25"/>
    <m/>
  </r>
  <r>
    <s v="NovaSeq"/>
    <x v="6"/>
    <x v="7"/>
    <n v="3"/>
    <n v="93242"/>
    <s v="Mutational variability in oesophagus in areas of high SCC incidence_WGS"/>
    <m/>
    <n v="338"/>
    <s v="passed"/>
    <s v="v1.5"/>
    <s v="No XP"/>
    <s v="S4"/>
    <n v="151"/>
    <n v="151"/>
    <n v="1"/>
    <s v="Agilent Pulldown"/>
    <n v="25"/>
    <m/>
  </r>
  <r>
    <s v="NovaSeq"/>
    <x v="6"/>
    <x v="7"/>
    <n v="4"/>
    <n v="93242"/>
    <s v="Mutational variability in oesophagus in areas of high SCC incidence_WGS"/>
    <m/>
    <n v="338"/>
    <s v="passed"/>
    <s v="v1.5"/>
    <s v="No XP"/>
    <s v="S4"/>
    <n v="151"/>
    <n v="151"/>
    <n v="1"/>
    <s v="Agilent Pulldown"/>
    <n v="25"/>
    <m/>
  </r>
  <r>
    <s v="NovaSeq"/>
    <x v="3"/>
    <x v="8"/>
    <n v="1"/>
    <n v="93379"/>
    <s v="RVI Programme - Heron Library"/>
    <m/>
    <n v="545"/>
    <s v="passed"/>
    <s v="v1.5"/>
    <s v="XP"/>
    <s v="SP"/>
    <n v="221"/>
    <n v="201"/>
    <n v="0.99999974400000502"/>
    <s v="Sanger_tailed_artic_v1_384"/>
    <n v="384"/>
    <n v="565047.61719999998"/>
  </r>
  <r>
    <s v="NovaSeq"/>
    <x v="3"/>
    <x v="8"/>
    <n v="2"/>
    <n v="93379"/>
    <s v="RVI Programme - Heron Library"/>
    <m/>
    <n v="545"/>
    <s v="passed"/>
    <s v="v1.5"/>
    <s v="XP"/>
    <s v="SP"/>
    <n v="221"/>
    <n v="201"/>
    <n v="0.99999974400000502"/>
    <s v="Sanger_tailed_artic_v1_384"/>
    <n v="384"/>
    <n v="561630.6979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Check New Vs Old" cacheId="18" applyNumberFormats="0" applyBorderFormats="0" applyFontFormats="0" applyPatternFormats="0" applyAlignmentFormats="0" applyWidthHeightFormats="0" dataCaption="" updatedVersion="8" rowGrandTotals="0" compact="0" compactData="0">
  <location ref="A2:C12" firstHeaderRow="1" firstDataRow="1" firstDataCol="2"/>
  <pivotFields count="19">
    <pivotField name="platform" compact="0" outline="0" multipleItemSelectionAllowed="1" showAll="0"/>
    <pivotField name="project_cost_code" axis="axisRow" compact="0" outline="0" multipleItemSelectionAllowed="1" showAll="0" sortType="ascending" defaultSubtotal="0">
      <items count="7">
        <item x="0"/>
        <item x="6"/>
        <item x="2"/>
        <item x="4"/>
        <item x="1"/>
        <item x="5"/>
        <item x="3"/>
      </items>
    </pivotField>
    <pivotField name="study_id" axis="axisRow" compact="0" outline="0" multipleItemSelectionAllowed="1" showAll="0" sortType="ascending">
      <items count="10">
        <item x="6"/>
        <item x="4"/>
        <item x="2"/>
        <item x="5"/>
        <item x="3"/>
        <item x="7"/>
        <item x="8"/>
        <item x="0"/>
        <item x="1"/>
        <item t="default"/>
      </items>
    </pivotField>
    <pivotField name="lane_position" compact="0" outline="0" multipleItemSelectionAllowed="1" showAll="0"/>
    <pivotField name="batch_id" compact="0" outline="0" multipleItemSelectionAllowed="1" showAll="0"/>
    <pivotField name="study_name" compact="0" outline="0" multipleItemSelectionAllowed="1" showAll="0"/>
    <pivotField name="stock_plate_barcode" compact="0" outline="0" multipleItemSelectionAllowed="1" showAll="0"/>
    <pivotField name="reagent_kit_barcode" compact="0" outline="0" multipleItemSelectionAllowed="1" showAll="0"/>
    <pivotField name="sbs_cycle_kit" compact="0" outline="0" multipleItemSelectionAllowed="1" showAll="0"/>
    <pivotField name="qc_outcome" compact="0" outline="0" multipleItemSelectionAllowed="1" showAll="0"/>
    <pivotField name="v1/1.5" compact="0" outline="0" multipleItemSelectionAllowed="1" showAll="0"/>
    <pivotField name="xp" compact="0" outline="0" multipleItemSelectionAllowed="1" showAll="0"/>
    <pivotField name="sp" compact="0" outline="0" multipleItemSelectionAllowed="1" showAll="0"/>
    <pivotField name="read1" compact="0" outline="0" multipleItemSelectionAllowed="1" showAll="0"/>
    <pivotField name="read2" compact="0" outline="0" multipleItemSelectionAllowed="1" showAll="0"/>
    <pivotField name="total" dataField="1" compact="0" outline="0" multipleItemSelectionAllowed="1" showAll="0"/>
    <pivotField name="library" compact="0" outline="0" multipleItemSelectionAllowed="1" showAll="0"/>
    <pivotField name="num_samples" compact="0" outline="0" multipleItemSelectionAllowed="1" showAll="0"/>
    <pivotField name="q20yield" compact="0" outline="0" multipleItemSelectionAllowed="1" showAll="0"/>
  </pivotFields>
  <rowFields count="2">
    <field x="1"/>
    <field x="2"/>
  </rowFields>
  <rowItems count="10">
    <i>
      <x/>
      <x/>
    </i>
    <i r="1">
      <x v="7"/>
    </i>
    <i r="1">
      <x v="8"/>
    </i>
    <i>
      <x v="1"/>
      <x v="5"/>
    </i>
    <i>
      <x v="2"/>
      <x v="4"/>
    </i>
    <i>
      <x v="3"/>
      <x v="3"/>
    </i>
    <i>
      <x v="4"/>
      <x v="2"/>
    </i>
    <i>
      <x v="5"/>
      <x v="3"/>
    </i>
    <i>
      <x v="6"/>
      <x v="1"/>
    </i>
    <i r="1">
      <x v="6"/>
    </i>
  </rowItems>
  <colItems count="1">
    <i/>
  </colItems>
  <dataFields count="1">
    <dataField name="SUM of tota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heck New Vs Old 2" cacheId="23" applyNumberFormats="0" applyBorderFormats="0" applyFontFormats="0" applyPatternFormats="0" applyAlignmentFormats="0" applyWidthHeightFormats="0" dataCaption="" updatedVersion="8" rowGrandTotals="0" compact="0" compactData="0">
  <location ref="F2:H12" firstHeaderRow="1" firstDataRow="1" firstDataCol="2"/>
  <pivotFields count="18">
    <pivotField name="platform" compact="0" outline="0" multipleItemSelectionAllowed="1" showAll="0"/>
    <pivotField name="project_cost_code" axis="axisRow" compact="0" outline="0" multipleItemSelectionAllowed="1" showAll="0" sortType="ascending" defaultSubtotal="0">
      <items count="7">
        <item x="0"/>
        <item x="6"/>
        <item x="2"/>
        <item x="4"/>
        <item x="1"/>
        <item x="5"/>
        <item x="3"/>
      </items>
    </pivotField>
    <pivotField name="study_id" axis="axisRow" compact="0" outline="0" multipleItemSelectionAllowed="1" showAll="0" sortType="ascending">
      <items count="10">
        <item x="6"/>
        <item x="4"/>
        <item x="2"/>
        <item x="5"/>
        <item x="3"/>
        <item x="7"/>
        <item x="8"/>
        <item x="0"/>
        <item x="1"/>
        <item t="default"/>
      </items>
    </pivotField>
    <pivotField name="lane_position" compact="0" outline="0" multipleItemSelectionAllowed="1" showAll="0"/>
    <pivotField name="batch_id" compact="0" outline="0" multipleItemSelectionAllowed="1" showAll="0"/>
    <pivotField name="study_name" compact="0" outline="0" multipleItemSelectionAllowed="1" showAll="0"/>
    <pivotField name="reagent_kit_barcode" compact="0" outline="0" multipleItemSelectionAllowed="1" showAll="0"/>
    <pivotField name="sbs_cycle_kit" compact="0" outline="0" multipleItemSelectionAllowed="1" showAll="0"/>
    <pivotField name="qc_outcome" compact="0" outline="0" multipleItemSelectionAllowed="1" showAll="0"/>
    <pivotField name="v1/1.5" compact="0" outline="0" multipleItemSelectionAllowed="1" showAll="0"/>
    <pivotField name="xp" compact="0" outline="0" multipleItemSelectionAllowed="1" showAll="0"/>
    <pivotField name="sp" compact="0" outline="0" multipleItemSelectionAllowed="1" showAll="0"/>
    <pivotField name="read1" compact="0" outline="0" multipleItemSelectionAllowed="1" showAll="0"/>
    <pivotField name="read2" compact="0" outline="0" multipleItemSelectionAllowed="1" showAll="0"/>
    <pivotField name="total" dataField="1" compact="0" outline="0" multipleItemSelectionAllowed="1" showAll="0"/>
    <pivotField name="library" compact="0" outline="0" multipleItemSelectionAllowed="1" showAll="0"/>
    <pivotField name="num_samples" compact="0" outline="0" multipleItemSelectionAllowed="1" showAll="0"/>
    <pivotField name="q20yield" compact="0" outline="0" multipleItemSelectionAllowed="1" showAll="0"/>
  </pivotFields>
  <rowFields count="2">
    <field x="1"/>
    <field x="2"/>
  </rowFields>
  <rowItems count="10">
    <i>
      <x/>
      <x/>
    </i>
    <i r="1">
      <x v="7"/>
    </i>
    <i r="1">
      <x v="8"/>
    </i>
    <i>
      <x v="1"/>
      <x v="5"/>
    </i>
    <i>
      <x v="2"/>
      <x v="4"/>
    </i>
    <i>
      <x v="3"/>
      <x v="3"/>
    </i>
    <i>
      <x v="4"/>
      <x v="2"/>
    </i>
    <i>
      <x v="5"/>
      <x v="3"/>
    </i>
    <i>
      <x v="6"/>
      <x v="1"/>
    </i>
    <i r="1">
      <x v="6"/>
    </i>
  </rowItems>
  <colItems count="1">
    <i/>
  </colItems>
  <dataFields count="1">
    <dataField name="SUM of total" fld="1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B8" headerRowDxfId="5" dataDxfId="4" totalsRowDxfId="3">
  <tableColumns count="2">
    <tableColumn id="1" xr3:uid="{00000000-0010-0000-0000-000001000000}" name="Sheet" dataDxfId="2"/>
    <tableColumn id="2" xr3:uid="{00000000-0010-0000-0000-000002000000}" name="Description" dataDxfId="1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"/>
  <sheetViews>
    <sheetView tabSelected="1" workbookViewId="0">
      <selection activeCell="B8" sqref="B8"/>
    </sheetView>
  </sheetViews>
  <sheetFormatPr baseColWidth="10" defaultColWidth="12.6640625" defaultRowHeight="15.75" customHeight="1" x14ac:dyDescent="0.15"/>
  <cols>
    <col min="1" max="1" width="24" customWidth="1"/>
    <col min="2" max="2" width="114.6640625" customWidth="1"/>
  </cols>
  <sheetData>
    <row r="1" spans="1:2" ht="15.75" customHeight="1" x14ac:dyDescent="0.2">
      <c r="A1" s="15" t="s">
        <v>0</v>
      </c>
      <c r="B1" s="16"/>
    </row>
    <row r="2" spans="1:2" ht="15.75" customHeight="1" x14ac:dyDescent="0.2">
      <c r="A2" s="15"/>
      <c r="B2" s="16"/>
    </row>
    <row r="3" spans="1:2" ht="15.75" customHeight="1" x14ac:dyDescent="0.2">
      <c r="A3" s="15" t="s">
        <v>1</v>
      </c>
      <c r="B3" s="15" t="s">
        <v>2</v>
      </c>
    </row>
    <row r="4" spans="1:2" ht="15.75" customHeight="1" x14ac:dyDescent="0.2">
      <c r="A4" s="15" t="s">
        <v>3</v>
      </c>
      <c r="B4" s="15" t="s">
        <v>4</v>
      </c>
    </row>
    <row r="5" spans="1:2" ht="15.75" customHeight="1" x14ac:dyDescent="0.2">
      <c r="A5" s="15" t="s">
        <v>5</v>
      </c>
      <c r="B5" s="15" t="s">
        <v>6</v>
      </c>
    </row>
    <row r="6" spans="1:2" ht="15.75" customHeight="1" x14ac:dyDescent="0.2">
      <c r="A6" s="15" t="s">
        <v>7</v>
      </c>
      <c r="B6" s="15" t="s">
        <v>8</v>
      </c>
    </row>
    <row r="7" spans="1:2" ht="15.75" customHeight="1" x14ac:dyDescent="0.2">
      <c r="A7" s="15" t="s">
        <v>9</v>
      </c>
      <c r="B7" s="15" t="s">
        <v>10</v>
      </c>
    </row>
    <row r="8" spans="1:2" ht="15.75" customHeight="1" x14ac:dyDescent="0.2">
      <c r="A8" s="15" t="s">
        <v>11</v>
      </c>
      <c r="B8" s="15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6" max="6" width="25.1640625" customWidth="1"/>
  </cols>
  <sheetData>
    <row r="1" spans="1:19" ht="15.75" customHeight="1" x14ac:dyDescent="0.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2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ht="15.75" customHeight="1" x14ac:dyDescent="0.15">
      <c r="A2" s="1" t="s">
        <v>32</v>
      </c>
      <c r="B2" s="1" t="s">
        <v>33</v>
      </c>
      <c r="C2" s="1">
        <v>7068</v>
      </c>
      <c r="D2" s="1">
        <v>4</v>
      </c>
      <c r="E2" s="1">
        <v>93296</v>
      </c>
      <c r="F2" s="2" t="s">
        <v>34</v>
      </c>
      <c r="I2" s="1">
        <v>338</v>
      </c>
      <c r="J2" s="1" t="s">
        <v>35</v>
      </c>
      <c r="K2" s="1" t="s">
        <v>36</v>
      </c>
      <c r="L2" s="1" t="s">
        <v>37</v>
      </c>
      <c r="M2" s="1" t="s">
        <v>38</v>
      </c>
      <c r="N2" s="1">
        <v>151</v>
      </c>
      <c r="O2" s="1">
        <v>151</v>
      </c>
      <c r="P2" s="1">
        <v>1.7241379000000001E-2</v>
      </c>
      <c r="Q2" s="1" t="s">
        <v>39</v>
      </c>
      <c r="R2" s="1">
        <v>1</v>
      </c>
      <c r="S2" s="1">
        <v>290498475</v>
      </c>
    </row>
    <row r="3" spans="1:19" ht="15.75" customHeight="1" x14ac:dyDescent="0.15">
      <c r="A3" s="1" t="s">
        <v>32</v>
      </c>
      <c r="B3" s="1" t="s">
        <v>33</v>
      </c>
      <c r="C3" s="1">
        <v>7069</v>
      </c>
      <c r="D3" s="1">
        <v>4</v>
      </c>
      <c r="E3" s="1">
        <v>93296</v>
      </c>
      <c r="F3" s="2" t="s">
        <v>40</v>
      </c>
      <c r="I3" s="1">
        <v>338</v>
      </c>
      <c r="J3" s="1" t="s">
        <v>35</v>
      </c>
      <c r="K3" s="1" t="s">
        <v>36</v>
      </c>
      <c r="L3" s="1" t="s">
        <v>37</v>
      </c>
      <c r="M3" s="1" t="s">
        <v>38</v>
      </c>
      <c r="N3" s="1">
        <v>151</v>
      </c>
      <c r="O3" s="1">
        <v>151</v>
      </c>
      <c r="P3" s="1">
        <v>0.13793103200000001</v>
      </c>
      <c r="Q3" s="1" t="s">
        <v>39</v>
      </c>
      <c r="R3" s="1">
        <v>8</v>
      </c>
      <c r="S3" s="1">
        <v>934583.75</v>
      </c>
    </row>
    <row r="4" spans="1:19" ht="15.75" customHeight="1" x14ac:dyDescent="0.15">
      <c r="A4" s="1" t="s">
        <v>32</v>
      </c>
      <c r="B4" s="1" t="s">
        <v>41</v>
      </c>
      <c r="C4" s="1">
        <v>6423</v>
      </c>
      <c r="D4" s="1">
        <v>1</v>
      </c>
      <c r="E4" s="1">
        <v>93294</v>
      </c>
      <c r="F4" s="2" t="s">
        <v>42</v>
      </c>
      <c r="G4" s="1" t="s">
        <v>43</v>
      </c>
      <c r="I4" s="1">
        <v>338</v>
      </c>
      <c r="J4" s="1" t="s">
        <v>35</v>
      </c>
      <c r="K4" s="1" t="s">
        <v>36</v>
      </c>
      <c r="L4" s="1" t="s">
        <v>37</v>
      </c>
      <c r="M4" s="1" t="s">
        <v>38</v>
      </c>
      <c r="N4" s="1">
        <v>151</v>
      </c>
      <c r="O4" s="1">
        <v>151</v>
      </c>
      <c r="P4" s="1">
        <v>1</v>
      </c>
      <c r="Q4" s="1" t="s">
        <v>44</v>
      </c>
      <c r="R4" s="1">
        <v>16</v>
      </c>
      <c r="S4" s="1">
        <v>53789815.3125</v>
      </c>
    </row>
    <row r="5" spans="1:19" ht="15.75" customHeight="1" x14ac:dyDescent="0.15">
      <c r="A5" s="1" t="s">
        <v>32</v>
      </c>
      <c r="B5" s="1" t="s">
        <v>41</v>
      </c>
      <c r="C5" s="1">
        <v>6423</v>
      </c>
      <c r="D5" s="1">
        <v>2</v>
      </c>
      <c r="E5" s="1">
        <v>93294</v>
      </c>
      <c r="F5" s="2" t="s">
        <v>42</v>
      </c>
      <c r="G5" s="1" t="s">
        <v>43</v>
      </c>
      <c r="I5" s="1">
        <v>338</v>
      </c>
      <c r="J5" s="1" t="s">
        <v>35</v>
      </c>
      <c r="K5" s="1" t="s">
        <v>36</v>
      </c>
      <c r="L5" s="1" t="s">
        <v>37</v>
      </c>
      <c r="M5" s="1" t="s">
        <v>38</v>
      </c>
      <c r="N5" s="1">
        <v>151</v>
      </c>
      <c r="O5" s="1">
        <v>151</v>
      </c>
      <c r="P5" s="1">
        <v>0.99999998999999995</v>
      </c>
      <c r="Q5" s="1" t="s">
        <v>44</v>
      </c>
      <c r="R5" s="1">
        <v>22</v>
      </c>
      <c r="S5" s="1">
        <v>38883371.045500003</v>
      </c>
    </row>
    <row r="6" spans="1:19" ht="15.75" customHeight="1" x14ac:dyDescent="0.15">
      <c r="A6" s="1" t="s">
        <v>32</v>
      </c>
      <c r="B6" s="1" t="s">
        <v>41</v>
      </c>
      <c r="C6" s="1">
        <v>6423</v>
      </c>
      <c r="D6" s="1">
        <v>3</v>
      </c>
      <c r="E6" s="1">
        <v>93294</v>
      </c>
      <c r="F6" s="2" t="s">
        <v>42</v>
      </c>
      <c r="G6" s="1" t="s">
        <v>43</v>
      </c>
      <c r="I6" s="1">
        <v>338</v>
      </c>
      <c r="J6" s="1" t="s">
        <v>35</v>
      </c>
      <c r="K6" s="1" t="s">
        <v>36</v>
      </c>
      <c r="L6" s="1" t="s">
        <v>37</v>
      </c>
      <c r="M6" s="1" t="s">
        <v>38</v>
      </c>
      <c r="N6" s="1">
        <v>151</v>
      </c>
      <c r="O6" s="1">
        <v>151</v>
      </c>
      <c r="P6" s="1">
        <v>0.99999998999999995</v>
      </c>
      <c r="Q6" s="1" t="s">
        <v>44</v>
      </c>
      <c r="R6" s="1">
        <v>22</v>
      </c>
      <c r="S6" s="1">
        <v>39057516.272699997</v>
      </c>
    </row>
    <row r="7" spans="1:19" ht="15.75" customHeight="1" x14ac:dyDescent="0.15">
      <c r="A7" s="1" t="s">
        <v>32</v>
      </c>
      <c r="B7" s="1" t="s">
        <v>41</v>
      </c>
      <c r="C7" s="1">
        <v>6423</v>
      </c>
      <c r="D7" s="1">
        <v>4</v>
      </c>
      <c r="E7" s="1">
        <v>93294</v>
      </c>
      <c r="F7" s="2" t="s">
        <v>42</v>
      </c>
      <c r="G7" s="1" t="s">
        <v>43</v>
      </c>
      <c r="I7" s="1">
        <v>338</v>
      </c>
      <c r="J7" s="1" t="s">
        <v>35</v>
      </c>
      <c r="K7" s="1" t="s">
        <v>36</v>
      </c>
      <c r="L7" s="1" t="s">
        <v>37</v>
      </c>
      <c r="M7" s="1" t="s">
        <v>38</v>
      </c>
      <c r="N7" s="1">
        <v>151</v>
      </c>
      <c r="O7" s="1">
        <v>151</v>
      </c>
      <c r="P7" s="1">
        <v>0.99999998999999995</v>
      </c>
      <c r="Q7" s="1" t="s">
        <v>44</v>
      </c>
      <c r="R7" s="1">
        <v>22</v>
      </c>
      <c r="S7" s="1">
        <v>39177371.636399999</v>
      </c>
    </row>
    <row r="8" spans="1:19" ht="15.75" customHeight="1" x14ac:dyDescent="0.15">
      <c r="A8" s="1" t="s">
        <v>32</v>
      </c>
      <c r="B8" s="1" t="s">
        <v>41</v>
      </c>
      <c r="C8" s="1">
        <v>6423</v>
      </c>
      <c r="D8" s="1">
        <v>1</v>
      </c>
      <c r="E8" s="1">
        <v>93295</v>
      </c>
      <c r="F8" s="2" t="s">
        <v>42</v>
      </c>
      <c r="G8" s="1" t="s">
        <v>45</v>
      </c>
      <c r="I8" s="1">
        <v>338</v>
      </c>
      <c r="J8" s="1" t="s">
        <v>35</v>
      </c>
      <c r="K8" s="1" t="s">
        <v>36</v>
      </c>
      <c r="L8" s="1" t="s">
        <v>37</v>
      </c>
      <c r="M8" s="1" t="s">
        <v>38</v>
      </c>
      <c r="N8" s="1">
        <v>151</v>
      </c>
      <c r="O8" s="1">
        <v>151</v>
      </c>
      <c r="P8" s="1">
        <v>0.99999998799999901</v>
      </c>
      <c r="Q8" s="1" t="s">
        <v>44</v>
      </c>
      <c r="R8" s="1">
        <v>26</v>
      </c>
      <c r="S8" s="1">
        <v>34186340.153800003</v>
      </c>
    </row>
    <row r="9" spans="1:19" ht="15.75" customHeight="1" x14ac:dyDescent="0.15">
      <c r="A9" s="1" t="s">
        <v>32</v>
      </c>
      <c r="B9" s="1" t="s">
        <v>41</v>
      </c>
      <c r="C9" s="1">
        <v>6423</v>
      </c>
      <c r="D9" s="1">
        <v>2</v>
      </c>
      <c r="E9" s="1">
        <v>93295</v>
      </c>
      <c r="F9" s="2" t="s">
        <v>42</v>
      </c>
      <c r="G9" s="1" t="s">
        <v>46</v>
      </c>
      <c r="I9" s="1">
        <v>338</v>
      </c>
      <c r="J9" s="1" t="s">
        <v>35</v>
      </c>
      <c r="K9" s="1" t="s">
        <v>36</v>
      </c>
      <c r="L9" s="1" t="s">
        <v>37</v>
      </c>
      <c r="M9" s="1" t="s">
        <v>38</v>
      </c>
      <c r="N9" s="1">
        <v>151</v>
      </c>
      <c r="O9" s="1">
        <v>151</v>
      </c>
      <c r="P9" s="1">
        <v>0.99999998800000001</v>
      </c>
      <c r="Q9" s="1" t="s">
        <v>44</v>
      </c>
      <c r="R9" s="1">
        <v>13</v>
      </c>
      <c r="S9" s="1">
        <v>67276806.923099995</v>
      </c>
    </row>
    <row r="10" spans="1:19" ht="15.75" customHeight="1" x14ac:dyDescent="0.15">
      <c r="A10" s="1" t="s">
        <v>32</v>
      </c>
      <c r="B10" s="1" t="s">
        <v>41</v>
      </c>
      <c r="C10" s="1">
        <v>6423</v>
      </c>
      <c r="D10" s="1">
        <v>3</v>
      </c>
      <c r="E10" s="1">
        <v>93295</v>
      </c>
      <c r="F10" s="2" t="s">
        <v>42</v>
      </c>
      <c r="G10" s="1" t="s">
        <v>46</v>
      </c>
      <c r="I10" s="1">
        <v>338</v>
      </c>
      <c r="J10" s="1" t="s">
        <v>35</v>
      </c>
      <c r="K10" s="1" t="s">
        <v>36</v>
      </c>
      <c r="L10" s="1" t="s">
        <v>37</v>
      </c>
      <c r="M10" s="1" t="s">
        <v>38</v>
      </c>
      <c r="N10" s="1">
        <v>151</v>
      </c>
      <c r="O10" s="1">
        <v>151</v>
      </c>
      <c r="P10" s="1">
        <v>0.99999999299999898</v>
      </c>
      <c r="Q10" s="1" t="s">
        <v>44</v>
      </c>
      <c r="R10" s="1">
        <v>17</v>
      </c>
      <c r="S10" s="1">
        <v>49678904.705899999</v>
      </c>
    </row>
    <row r="11" spans="1:19" ht="15.75" customHeight="1" x14ac:dyDescent="0.15">
      <c r="A11" s="1" t="s">
        <v>32</v>
      </c>
      <c r="B11" s="1" t="s">
        <v>41</v>
      </c>
      <c r="C11" s="1">
        <v>6423</v>
      </c>
      <c r="D11" s="1">
        <v>4</v>
      </c>
      <c r="E11" s="1">
        <v>93295</v>
      </c>
      <c r="F11" s="2" t="s">
        <v>42</v>
      </c>
      <c r="G11" s="1" t="s">
        <v>46</v>
      </c>
      <c r="I11" s="1">
        <v>338</v>
      </c>
      <c r="J11" s="1" t="s">
        <v>35</v>
      </c>
      <c r="K11" s="1" t="s">
        <v>36</v>
      </c>
      <c r="L11" s="1" t="s">
        <v>37</v>
      </c>
      <c r="M11" s="1" t="s">
        <v>38</v>
      </c>
      <c r="N11" s="1">
        <v>151</v>
      </c>
      <c r="O11" s="1">
        <v>151</v>
      </c>
      <c r="P11" s="1">
        <v>0.99999999299999898</v>
      </c>
      <c r="Q11" s="1" t="s">
        <v>44</v>
      </c>
      <c r="R11" s="1">
        <v>17</v>
      </c>
      <c r="S11" s="1">
        <v>50940391.588200003</v>
      </c>
    </row>
    <row r="12" spans="1:19" ht="15.75" customHeight="1" x14ac:dyDescent="0.15">
      <c r="A12" s="1" t="s">
        <v>32</v>
      </c>
      <c r="B12" s="1" t="s">
        <v>41</v>
      </c>
      <c r="C12" s="1">
        <v>6423</v>
      </c>
      <c r="D12" s="1">
        <v>1</v>
      </c>
      <c r="E12" s="1">
        <v>93296</v>
      </c>
      <c r="F12" s="2" t="s">
        <v>42</v>
      </c>
      <c r="G12" s="1" t="s">
        <v>45</v>
      </c>
      <c r="I12" s="1">
        <v>338</v>
      </c>
      <c r="J12" s="1" t="s">
        <v>35</v>
      </c>
      <c r="K12" s="1" t="s">
        <v>36</v>
      </c>
      <c r="L12" s="1" t="s">
        <v>37</v>
      </c>
      <c r="M12" s="1" t="s">
        <v>38</v>
      </c>
      <c r="N12" s="1">
        <v>151</v>
      </c>
      <c r="O12" s="1">
        <v>151</v>
      </c>
      <c r="P12" s="1">
        <v>1</v>
      </c>
      <c r="Q12" s="1" t="s">
        <v>44</v>
      </c>
      <c r="R12" s="1">
        <v>16</v>
      </c>
      <c r="S12" s="1">
        <v>57150071.625</v>
      </c>
    </row>
    <row r="13" spans="1:19" ht="15.75" customHeight="1" x14ac:dyDescent="0.15">
      <c r="A13" s="1" t="s">
        <v>32</v>
      </c>
      <c r="B13" s="1" t="s">
        <v>41</v>
      </c>
      <c r="C13" s="1">
        <v>6423</v>
      </c>
      <c r="D13" s="1">
        <v>2</v>
      </c>
      <c r="E13" s="1">
        <v>93296</v>
      </c>
      <c r="F13" s="2" t="s">
        <v>42</v>
      </c>
      <c r="G13" s="1" t="s">
        <v>45</v>
      </c>
      <c r="I13" s="1">
        <v>338</v>
      </c>
      <c r="J13" s="1" t="s">
        <v>35</v>
      </c>
      <c r="K13" s="1" t="s">
        <v>36</v>
      </c>
      <c r="L13" s="1" t="s">
        <v>37</v>
      </c>
      <c r="M13" s="1" t="s">
        <v>38</v>
      </c>
      <c r="N13" s="1">
        <v>151</v>
      </c>
      <c r="O13" s="1">
        <v>151</v>
      </c>
      <c r="P13" s="1">
        <v>0.99999998799999901</v>
      </c>
      <c r="Q13" s="1" t="s">
        <v>44</v>
      </c>
      <c r="R13" s="1">
        <v>26</v>
      </c>
      <c r="S13" s="1">
        <v>35362786.769199997</v>
      </c>
    </row>
    <row r="14" spans="1:19" ht="15.75" customHeight="1" x14ac:dyDescent="0.15">
      <c r="A14" s="1" t="s">
        <v>32</v>
      </c>
      <c r="B14" s="1" t="s">
        <v>41</v>
      </c>
      <c r="C14" s="1">
        <v>6423</v>
      </c>
      <c r="D14" s="1">
        <v>3</v>
      </c>
      <c r="E14" s="1">
        <v>93296</v>
      </c>
      <c r="F14" s="2" t="s">
        <v>42</v>
      </c>
      <c r="G14" s="1" t="s">
        <v>45</v>
      </c>
      <c r="I14" s="1">
        <v>338</v>
      </c>
      <c r="J14" s="1" t="s">
        <v>35</v>
      </c>
      <c r="K14" s="1" t="s">
        <v>36</v>
      </c>
      <c r="L14" s="1" t="s">
        <v>37</v>
      </c>
      <c r="M14" s="1" t="s">
        <v>38</v>
      </c>
      <c r="N14" s="1">
        <v>151</v>
      </c>
      <c r="O14" s="1">
        <v>151</v>
      </c>
      <c r="P14" s="1">
        <v>0.99999998799999901</v>
      </c>
      <c r="Q14" s="1" t="s">
        <v>44</v>
      </c>
      <c r="R14" s="1">
        <v>26</v>
      </c>
      <c r="S14" s="1">
        <v>34572409.576899998</v>
      </c>
    </row>
    <row r="15" spans="1:19" ht="15.75" customHeight="1" x14ac:dyDescent="0.15">
      <c r="A15" s="1" t="s">
        <v>47</v>
      </c>
      <c r="B15" s="1" t="s">
        <v>48</v>
      </c>
      <c r="C15" s="1">
        <v>6644</v>
      </c>
      <c r="D15" s="1">
        <v>1</v>
      </c>
      <c r="E15" s="1">
        <v>93301</v>
      </c>
      <c r="F15" s="2" t="s">
        <v>49</v>
      </c>
      <c r="J15" s="1" t="s">
        <v>35</v>
      </c>
      <c r="P15" s="1">
        <v>1</v>
      </c>
      <c r="Q15" s="1" t="s">
        <v>50</v>
      </c>
      <c r="R15" s="1">
        <v>2</v>
      </c>
      <c r="S15" s="1">
        <v>4519056</v>
      </c>
    </row>
    <row r="16" spans="1:19" ht="15.75" customHeight="1" x14ac:dyDescent="0.15">
      <c r="A16" s="1" t="s">
        <v>47</v>
      </c>
      <c r="B16" s="1" t="s">
        <v>48</v>
      </c>
      <c r="C16" s="1">
        <v>6644</v>
      </c>
      <c r="D16" s="1">
        <v>2</v>
      </c>
      <c r="E16" s="1">
        <v>93301</v>
      </c>
      <c r="F16" s="2" t="s">
        <v>49</v>
      </c>
      <c r="J16" s="1" t="s">
        <v>35</v>
      </c>
      <c r="P16" s="1">
        <v>1</v>
      </c>
      <c r="Q16" s="1" t="s">
        <v>50</v>
      </c>
      <c r="R16" s="1">
        <v>2</v>
      </c>
      <c r="S16" s="1">
        <v>4635952.5</v>
      </c>
    </row>
    <row r="17" spans="1:19" ht="15.75" customHeight="1" x14ac:dyDescent="0.15">
      <c r="A17" s="1" t="s">
        <v>32</v>
      </c>
      <c r="B17" s="1" t="s">
        <v>51</v>
      </c>
      <c r="C17" s="1">
        <v>6187</v>
      </c>
      <c r="D17" s="1">
        <v>1</v>
      </c>
      <c r="E17" s="1">
        <v>93378</v>
      </c>
      <c r="F17" s="2" t="s">
        <v>52</v>
      </c>
      <c r="G17" s="1" t="s">
        <v>53</v>
      </c>
      <c r="I17" s="1">
        <v>545</v>
      </c>
      <c r="J17" s="1" t="s">
        <v>35</v>
      </c>
      <c r="K17" s="1" t="s">
        <v>36</v>
      </c>
      <c r="L17" s="1" t="s">
        <v>37</v>
      </c>
      <c r="M17" s="1" t="s">
        <v>54</v>
      </c>
      <c r="N17" s="1">
        <v>221</v>
      </c>
      <c r="O17" s="1">
        <v>201</v>
      </c>
      <c r="P17" s="1">
        <v>0.24999993599999901</v>
      </c>
      <c r="Q17" s="1" t="s">
        <v>55</v>
      </c>
      <c r="R17" s="1">
        <v>96</v>
      </c>
      <c r="S17" s="1">
        <v>485371.30209999997</v>
      </c>
    </row>
    <row r="18" spans="1:19" ht="15.75" customHeight="1" x14ac:dyDescent="0.15">
      <c r="A18" s="1" t="s">
        <v>32</v>
      </c>
      <c r="B18" s="1" t="s">
        <v>51</v>
      </c>
      <c r="C18" s="1">
        <v>6187</v>
      </c>
      <c r="D18" s="1">
        <v>1</v>
      </c>
      <c r="E18" s="1">
        <v>93378</v>
      </c>
      <c r="F18" s="2" t="s">
        <v>52</v>
      </c>
      <c r="G18" s="1" t="s">
        <v>56</v>
      </c>
      <c r="I18" s="1">
        <v>545</v>
      </c>
      <c r="J18" s="1" t="s">
        <v>35</v>
      </c>
      <c r="K18" s="1" t="s">
        <v>36</v>
      </c>
      <c r="L18" s="1" t="s">
        <v>37</v>
      </c>
      <c r="M18" s="1" t="s">
        <v>54</v>
      </c>
      <c r="N18" s="1">
        <v>221</v>
      </c>
      <c r="O18" s="1">
        <v>201</v>
      </c>
      <c r="P18" s="1">
        <v>0.24999993599999901</v>
      </c>
      <c r="Q18" s="1" t="s">
        <v>55</v>
      </c>
      <c r="R18" s="1">
        <v>96</v>
      </c>
      <c r="S18" s="1">
        <v>347156.90629999997</v>
      </c>
    </row>
    <row r="19" spans="1:19" ht="15.75" customHeight="1" x14ac:dyDescent="0.15">
      <c r="A19" s="1" t="s">
        <v>32</v>
      </c>
      <c r="B19" s="1" t="s">
        <v>51</v>
      </c>
      <c r="C19" s="1">
        <v>6187</v>
      </c>
      <c r="D19" s="1">
        <v>1</v>
      </c>
      <c r="E19" s="1">
        <v>93378</v>
      </c>
      <c r="F19" s="2" t="s">
        <v>52</v>
      </c>
      <c r="G19" s="1" t="s">
        <v>57</v>
      </c>
      <c r="I19" s="1">
        <v>545</v>
      </c>
      <c r="J19" s="1" t="s">
        <v>35</v>
      </c>
      <c r="K19" s="1" t="s">
        <v>36</v>
      </c>
      <c r="L19" s="1" t="s">
        <v>37</v>
      </c>
      <c r="M19" s="1" t="s">
        <v>54</v>
      </c>
      <c r="N19" s="1">
        <v>221</v>
      </c>
      <c r="O19" s="1">
        <v>201</v>
      </c>
      <c r="P19" s="1">
        <v>0.24999993599999901</v>
      </c>
      <c r="Q19" s="1" t="s">
        <v>55</v>
      </c>
      <c r="R19" s="1">
        <v>96</v>
      </c>
      <c r="S19" s="1">
        <v>609469.77080000006</v>
      </c>
    </row>
    <row r="20" spans="1:19" ht="15.75" customHeight="1" x14ac:dyDescent="0.15">
      <c r="A20" s="1" t="s">
        <v>32</v>
      </c>
      <c r="B20" s="1" t="s">
        <v>51</v>
      </c>
      <c r="C20" s="1">
        <v>6187</v>
      </c>
      <c r="D20" s="1">
        <v>1</v>
      </c>
      <c r="E20" s="1">
        <v>93378</v>
      </c>
      <c r="F20" s="2" t="s">
        <v>52</v>
      </c>
      <c r="G20" s="1" t="s">
        <v>58</v>
      </c>
      <c r="I20" s="1">
        <v>545</v>
      </c>
      <c r="J20" s="1" t="s">
        <v>35</v>
      </c>
      <c r="K20" s="1" t="s">
        <v>36</v>
      </c>
      <c r="L20" s="1" t="s">
        <v>37</v>
      </c>
      <c r="M20" s="1" t="s">
        <v>54</v>
      </c>
      <c r="N20" s="1">
        <v>221</v>
      </c>
      <c r="O20" s="1">
        <v>201</v>
      </c>
      <c r="P20" s="1">
        <v>0.24999993599999901</v>
      </c>
      <c r="Q20" s="1" t="s">
        <v>55</v>
      </c>
      <c r="R20" s="1">
        <v>96</v>
      </c>
      <c r="S20" s="1">
        <v>606000.14580000006</v>
      </c>
    </row>
    <row r="21" spans="1:19" ht="15.75" customHeight="1" x14ac:dyDescent="0.15">
      <c r="A21" s="1" t="s">
        <v>32</v>
      </c>
      <c r="B21" s="1" t="s">
        <v>51</v>
      </c>
      <c r="C21" s="1">
        <v>6187</v>
      </c>
      <c r="D21" s="1">
        <v>2</v>
      </c>
      <c r="E21" s="1">
        <v>93378</v>
      </c>
      <c r="F21" s="2" t="s">
        <v>52</v>
      </c>
      <c r="G21" s="1" t="s">
        <v>59</v>
      </c>
      <c r="I21" s="1">
        <v>545</v>
      </c>
      <c r="J21" s="1" t="s">
        <v>35</v>
      </c>
      <c r="K21" s="1" t="s">
        <v>36</v>
      </c>
      <c r="L21" s="1" t="s">
        <v>37</v>
      </c>
      <c r="M21" s="1" t="s">
        <v>54</v>
      </c>
      <c r="N21" s="1">
        <v>221</v>
      </c>
      <c r="O21" s="1">
        <v>201</v>
      </c>
      <c r="P21" s="1">
        <v>0.24999993599999901</v>
      </c>
      <c r="Q21" s="1" t="s">
        <v>55</v>
      </c>
      <c r="R21" s="1">
        <v>96</v>
      </c>
      <c r="S21" s="1">
        <v>508721.13540000003</v>
      </c>
    </row>
    <row r="22" spans="1:19" ht="15.75" customHeight="1" x14ac:dyDescent="0.15">
      <c r="A22" s="1" t="s">
        <v>32</v>
      </c>
      <c r="B22" s="1" t="s">
        <v>51</v>
      </c>
      <c r="C22" s="1">
        <v>6187</v>
      </c>
      <c r="D22" s="1">
        <v>2</v>
      </c>
      <c r="E22" s="1">
        <v>93378</v>
      </c>
      <c r="F22" s="2" t="s">
        <v>52</v>
      </c>
      <c r="G22" s="1" t="s">
        <v>60</v>
      </c>
      <c r="I22" s="1">
        <v>545</v>
      </c>
      <c r="J22" s="1" t="s">
        <v>35</v>
      </c>
      <c r="K22" s="1" t="s">
        <v>36</v>
      </c>
      <c r="L22" s="1" t="s">
        <v>37</v>
      </c>
      <c r="M22" s="1" t="s">
        <v>54</v>
      </c>
      <c r="N22" s="1">
        <v>221</v>
      </c>
      <c r="O22" s="1">
        <v>201</v>
      </c>
      <c r="P22" s="1">
        <v>0.24999993599999901</v>
      </c>
      <c r="Q22" s="1" t="s">
        <v>55</v>
      </c>
      <c r="R22" s="1">
        <v>96</v>
      </c>
      <c r="S22" s="1">
        <v>764374.85419999994</v>
      </c>
    </row>
    <row r="23" spans="1:19" ht="15.75" customHeight="1" x14ac:dyDescent="0.15">
      <c r="A23" s="1" t="s">
        <v>32</v>
      </c>
      <c r="B23" s="1" t="s">
        <v>51</v>
      </c>
      <c r="C23" s="1">
        <v>6187</v>
      </c>
      <c r="D23" s="1">
        <v>2</v>
      </c>
      <c r="E23" s="1">
        <v>93378</v>
      </c>
      <c r="F23" s="2" t="s">
        <v>52</v>
      </c>
      <c r="G23" s="1" t="s">
        <v>61</v>
      </c>
      <c r="I23" s="1">
        <v>545</v>
      </c>
      <c r="J23" s="1" t="s">
        <v>35</v>
      </c>
      <c r="K23" s="1" t="s">
        <v>36</v>
      </c>
      <c r="L23" s="1" t="s">
        <v>37</v>
      </c>
      <c r="M23" s="1" t="s">
        <v>54</v>
      </c>
      <c r="N23" s="1">
        <v>221</v>
      </c>
      <c r="O23" s="1">
        <v>201</v>
      </c>
      <c r="P23" s="1">
        <v>0.24999993599999901</v>
      </c>
      <c r="Q23" s="1" t="s">
        <v>55</v>
      </c>
      <c r="R23" s="1">
        <v>96</v>
      </c>
      <c r="S23" s="1">
        <v>226603.9375</v>
      </c>
    </row>
    <row r="24" spans="1:19" ht="15.75" customHeight="1" x14ac:dyDescent="0.15">
      <c r="A24" s="1" t="s">
        <v>32</v>
      </c>
      <c r="B24" s="1" t="s">
        <v>51</v>
      </c>
      <c r="C24" s="1">
        <v>6187</v>
      </c>
      <c r="D24" s="1">
        <v>2</v>
      </c>
      <c r="E24" s="1">
        <v>93378</v>
      </c>
      <c r="F24" s="2" t="s">
        <v>52</v>
      </c>
      <c r="G24" s="1" t="s">
        <v>62</v>
      </c>
      <c r="I24" s="1">
        <v>545</v>
      </c>
      <c r="J24" s="1" t="s">
        <v>35</v>
      </c>
      <c r="K24" s="1" t="s">
        <v>36</v>
      </c>
      <c r="L24" s="1" t="s">
        <v>37</v>
      </c>
      <c r="M24" s="1" t="s">
        <v>54</v>
      </c>
      <c r="N24" s="1">
        <v>221</v>
      </c>
      <c r="O24" s="1">
        <v>201</v>
      </c>
      <c r="P24" s="1">
        <v>0.24999993599999901</v>
      </c>
      <c r="Q24" s="1" t="s">
        <v>55</v>
      </c>
      <c r="R24" s="1">
        <v>96</v>
      </c>
      <c r="S24" s="1">
        <v>724323.10419999994</v>
      </c>
    </row>
    <row r="25" spans="1:19" ht="15.75" customHeight="1" x14ac:dyDescent="0.15">
      <c r="A25" s="1" t="s">
        <v>32</v>
      </c>
      <c r="B25" s="1" t="s">
        <v>51</v>
      </c>
      <c r="C25" s="1">
        <v>6187</v>
      </c>
      <c r="D25" s="1">
        <v>1</v>
      </c>
      <c r="E25" s="1">
        <v>93381</v>
      </c>
      <c r="F25" s="2" t="s">
        <v>52</v>
      </c>
      <c r="G25" s="1" t="s">
        <v>63</v>
      </c>
      <c r="I25" s="1">
        <v>545</v>
      </c>
      <c r="J25" s="1" t="s">
        <v>35</v>
      </c>
      <c r="K25" s="1" t="s">
        <v>36</v>
      </c>
      <c r="L25" s="1" t="s">
        <v>37</v>
      </c>
      <c r="M25" s="1" t="s">
        <v>54</v>
      </c>
      <c r="N25" s="1">
        <v>221</v>
      </c>
      <c r="O25" s="1">
        <v>201</v>
      </c>
      <c r="P25" s="1">
        <v>0.251308896</v>
      </c>
      <c r="Q25" s="1" t="s">
        <v>55</v>
      </c>
      <c r="R25" s="1">
        <v>96</v>
      </c>
      <c r="S25" s="1">
        <v>396447.46879999997</v>
      </c>
    </row>
    <row r="26" spans="1:19" ht="15.75" customHeight="1" x14ac:dyDescent="0.15">
      <c r="A26" s="1" t="s">
        <v>32</v>
      </c>
      <c r="B26" s="1" t="s">
        <v>51</v>
      </c>
      <c r="C26" s="1">
        <v>6187</v>
      </c>
      <c r="D26" s="1">
        <v>1</v>
      </c>
      <c r="E26" s="1">
        <v>93381</v>
      </c>
      <c r="F26" s="2" t="s">
        <v>52</v>
      </c>
      <c r="G26" s="1" t="s">
        <v>64</v>
      </c>
      <c r="I26" s="1">
        <v>545</v>
      </c>
      <c r="J26" s="1" t="s">
        <v>35</v>
      </c>
      <c r="K26" s="1" t="s">
        <v>36</v>
      </c>
      <c r="L26" s="1" t="s">
        <v>37</v>
      </c>
      <c r="M26" s="1" t="s">
        <v>54</v>
      </c>
      <c r="N26" s="1">
        <v>221</v>
      </c>
      <c r="O26" s="1">
        <v>201</v>
      </c>
      <c r="P26" s="1">
        <v>0.251308896</v>
      </c>
      <c r="Q26" s="1" t="s">
        <v>55</v>
      </c>
      <c r="R26" s="1">
        <v>96</v>
      </c>
      <c r="S26" s="1">
        <v>753657.375</v>
      </c>
    </row>
    <row r="27" spans="1:19" ht="15.75" customHeight="1" x14ac:dyDescent="0.15">
      <c r="A27" s="1" t="s">
        <v>32</v>
      </c>
      <c r="B27" s="1" t="s">
        <v>51</v>
      </c>
      <c r="C27" s="1">
        <v>6187</v>
      </c>
      <c r="D27" s="1">
        <v>1</v>
      </c>
      <c r="E27" s="1">
        <v>93381</v>
      </c>
      <c r="F27" s="2" t="s">
        <v>52</v>
      </c>
      <c r="G27" s="1" t="s">
        <v>65</v>
      </c>
      <c r="I27" s="1">
        <v>545</v>
      </c>
      <c r="J27" s="1" t="s">
        <v>35</v>
      </c>
      <c r="K27" s="1" t="s">
        <v>36</v>
      </c>
      <c r="L27" s="1" t="s">
        <v>37</v>
      </c>
      <c r="M27" s="1" t="s">
        <v>54</v>
      </c>
      <c r="N27" s="1">
        <v>221</v>
      </c>
      <c r="O27" s="1">
        <v>201</v>
      </c>
      <c r="P27" s="1">
        <v>0.251308896</v>
      </c>
      <c r="Q27" s="1" t="s">
        <v>55</v>
      </c>
      <c r="R27" s="1">
        <v>96</v>
      </c>
      <c r="S27" s="1">
        <v>551311.33330000006</v>
      </c>
    </row>
    <row r="28" spans="1:19" ht="15.75" customHeight="1" x14ac:dyDescent="0.15">
      <c r="A28" s="1" t="s">
        <v>32</v>
      </c>
      <c r="B28" s="1" t="s">
        <v>51</v>
      </c>
      <c r="C28" s="1">
        <v>6187</v>
      </c>
      <c r="D28" s="1">
        <v>1</v>
      </c>
      <c r="E28" s="1">
        <v>93381</v>
      </c>
      <c r="F28" s="2" t="s">
        <v>52</v>
      </c>
      <c r="G28" s="1" t="s">
        <v>66</v>
      </c>
      <c r="I28" s="1">
        <v>545</v>
      </c>
      <c r="J28" s="1" t="s">
        <v>35</v>
      </c>
      <c r="K28" s="1" t="s">
        <v>36</v>
      </c>
      <c r="L28" s="1" t="s">
        <v>37</v>
      </c>
      <c r="M28" s="1" t="s">
        <v>54</v>
      </c>
      <c r="N28" s="1">
        <v>221</v>
      </c>
      <c r="O28" s="1">
        <v>201</v>
      </c>
      <c r="P28" s="1">
        <v>0.246073294</v>
      </c>
      <c r="Q28" s="1" t="s">
        <v>55</v>
      </c>
      <c r="R28" s="1">
        <v>94</v>
      </c>
      <c r="S28" s="1">
        <v>435607.79790000001</v>
      </c>
    </row>
    <row r="29" spans="1:19" ht="15.75" customHeight="1" x14ac:dyDescent="0.15">
      <c r="A29" s="1" t="s">
        <v>32</v>
      </c>
      <c r="B29" s="1" t="s">
        <v>51</v>
      </c>
      <c r="C29" s="1">
        <v>6187</v>
      </c>
      <c r="D29" s="1">
        <v>2</v>
      </c>
      <c r="E29" s="1">
        <v>93381</v>
      </c>
      <c r="F29" s="2" t="s">
        <v>52</v>
      </c>
      <c r="G29" s="1" t="s">
        <v>67</v>
      </c>
      <c r="I29" s="1">
        <v>545</v>
      </c>
      <c r="J29" s="1" t="s">
        <v>35</v>
      </c>
      <c r="K29" s="1" t="s">
        <v>36</v>
      </c>
      <c r="L29" s="1" t="s">
        <v>37</v>
      </c>
      <c r="M29" s="1" t="s">
        <v>54</v>
      </c>
      <c r="N29" s="1">
        <v>221</v>
      </c>
      <c r="O29" s="1">
        <v>201</v>
      </c>
      <c r="P29" s="1">
        <v>0.24999993599999901</v>
      </c>
      <c r="Q29" s="1" t="s">
        <v>55</v>
      </c>
      <c r="R29" s="1">
        <v>96</v>
      </c>
      <c r="S29" s="1">
        <v>458162.7292</v>
      </c>
    </row>
    <row r="30" spans="1:19" ht="15.75" customHeight="1" x14ac:dyDescent="0.15">
      <c r="A30" s="1" t="s">
        <v>32</v>
      </c>
      <c r="B30" s="1" t="s">
        <v>51</v>
      </c>
      <c r="C30" s="1">
        <v>6187</v>
      </c>
      <c r="D30" s="1">
        <v>2</v>
      </c>
      <c r="E30" s="1">
        <v>93381</v>
      </c>
      <c r="F30" s="2" t="s">
        <v>52</v>
      </c>
      <c r="G30" s="1" t="s">
        <v>68</v>
      </c>
      <c r="I30" s="1">
        <v>545</v>
      </c>
      <c r="J30" s="1" t="s">
        <v>35</v>
      </c>
      <c r="K30" s="1" t="s">
        <v>36</v>
      </c>
      <c r="L30" s="1" t="s">
        <v>37</v>
      </c>
      <c r="M30" s="1" t="s">
        <v>54</v>
      </c>
      <c r="N30" s="1">
        <v>221</v>
      </c>
      <c r="O30" s="1">
        <v>201</v>
      </c>
      <c r="P30" s="1">
        <v>0.24999993599999901</v>
      </c>
      <c r="Q30" s="1" t="s">
        <v>55</v>
      </c>
      <c r="R30" s="1">
        <v>96</v>
      </c>
      <c r="S30" s="1">
        <v>516462.5</v>
      </c>
    </row>
    <row r="31" spans="1:19" ht="15.75" customHeight="1" x14ac:dyDescent="0.15">
      <c r="A31" s="1" t="s">
        <v>32</v>
      </c>
      <c r="B31" s="1" t="s">
        <v>51</v>
      </c>
      <c r="C31" s="1">
        <v>6187</v>
      </c>
      <c r="D31" s="1">
        <v>2</v>
      </c>
      <c r="E31" s="1">
        <v>93381</v>
      </c>
      <c r="F31" s="2" t="s">
        <v>52</v>
      </c>
      <c r="G31" s="1" t="s">
        <v>69</v>
      </c>
      <c r="I31" s="1">
        <v>545</v>
      </c>
      <c r="J31" s="1" t="s">
        <v>35</v>
      </c>
      <c r="K31" s="1" t="s">
        <v>36</v>
      </c>
      <c r="L31" s="1" t="s">
        <v>37</v>
      </c>
      <c r="M31" s="1" t="s">
        <v>54</v>
      </c>
      <c r="N31" s="1">
        <v>221</v>
      </c>
      <c r="O31" s="1">
        <v>201</v>
      </c>
      <c r="P31" s="1">
        <v>0.24999993599999901</v>
      </c>
      <c r="Q31" s="1" t="s">
        <v>55</v>
      </c>
      <c r="R31" s="1">
        <v>96</v>
      </c>
      <c r="S31" s="1">
        <v>383411.3542</v>
      </c>
    </row>
    <row r="32" spans="1:19" ht="15.75" customHeight="1" x14ac:dyDescent="0.15">
      <c r="A32" s="1" t="s">
        <v>32</v>
      </c>
      <c r="B32" s="1" t="s">
        <v>51</v>
      </c>
      <c r="C32" s="1">
        <v>6187</v>
      </c>
      <c r="D32" s="1">
        <v>2</v>
      </c>
      <c r="E32" s="1">
        <v>93381</v>
      </c>
      <c r="F32" s="2" t="s">
        <v>52</v>
      </c>
      <c r="G32" s="1" t="s">
        <v>70</v>
      </c>
      <c r="I32" s="1">
        <v>545</v>
      </c>
      <c r="J32" s="1" t="s">
        <v>35</v>
      </c>
      <c r="K32" s="1" t="s">
        <v>36</v>
      </c>
      <c r="L32" s="1" t="s">
        <v>37</v>
      </c>
      <c r="M32" s="1" t="s">
        <v>54</v>
      </c>
      <c r="N32" s="1">
        <v>221</v>
      </c>
      <c r="O32" s="1">
        <v>201</v>
      </c>
      <c r="P32" s="1">
        <v>0.24999993599999901</v>
      </c>
      <c r="Q32" s="1" t="s">
        <v>55</v>
      </c>
      <c r="R32" s="1">
        <v>96</v>
      </c>
      <c r="S32" s="1">
        <v>538727.69790000003</v>
      </c>
    </row>
    <row r="33" spans="1:19" ht="15.75" customHeight="1" x14ac:dyDescent="0.15">
      <c r="A33" s="1" t="s">
        <v>32</v>
      </c>
      <c r="B33" s="1" t="s">
        <v>51</v>
      </c>
      <c r="C33" s="1">
        <v>6187</v>
      </c>
      <c r="D33" s="1">
        <v>1</v>
      </c>
      <c r="E33" s="1">
        <v>93382</v>
      </c>
      <c r="F33" s="2" t="s">
        <v>52</v>
      </c>
      <c r="G33" s="1" t="s">
        <v>71</v>
      </c>
      <c r="I33" s="1">
        <v>545</v>
      </c>
      <c r="J33" s="1" t="s">
        <v>35</v>
      </c>
      <c r="K33" s="1" t="s">
        <v>36</v>
      </c>
      <c r="L33" s="1" t="s">
        <v>37</v>
      </c>
      <c r="M33" s="1" t="s">
        <v>54</v>
      </c>
      <c r="N33" s="1">
        <v>221</v>
      </c>
      <c r="O33" s="1">
        <v>201</v>
      </c>
      <c r="P33" s="1">
        <v>0.24999993599999901</v>
      </c>
      <c r="Q33" s="1" t="s">
        <v>55</v>
      </c>
      <c r="R33" s="1">
        <v>96</v>
      </c>
      <c r="S33" s="1">
        <v>588309</v>
      </c>
    </row>
    <row r="34" spans="1:19" ht="15.75" customHeight="1" x14ac:dyDescent="0.15">
      <c r="A34" s="1" t="s">
        <v>32</v>
      </c>
      <c r="B34" s="1" t="s">
        <v>51</v>
      </c>
      <c r="C34" s="1">
        <v>6187</v>
      </c>
      <c r="D34" s="1">
        <v>1</v>
      </c>
      <c r="E34" s="1">
        <v>93382</v>
      </c>
      <c r="F34" s="2" t="s">
        <v>52</v>
      </c>
      <c r="G34" s="1" t="s">
        <v>72</v>
      </c>
      <c r="I34" s="1">
        <v>545</v>
      </c>
      <c r="J34" s="1" t="s">
        <v>35</v>
      </c>
      <c r="K34" s="1" t="s">
        <v>36</v>
      </c>
      <c r="L34" s="1" t="s">
        <v>37</v>
      </c>
      <c r="M34" s="1" t="s">
        <v>54</v>
      </c>
      <c r="N34" s="1">
        <v>221</v>
      </c>
      <c r="O34" s="1">
        <v>201</v>
      </c>
      <c r="P34" s="1">
        <v>0.24999993599999901</v>
      </c>
      <c r="Q34" s="1" t="s">
        <v>55</v>
      </c>
      <c r="R34" s="1">
        <v>96</v>
      </c>
      <c r="S34" s="1">
        <v>354994.19790000003</v>
      </c>
    </row>
    <row r="35" spans="1:19" ht="15.75" customHeight="1" x14ac:dyDescent="0.15">
      <c r="A35" s="1" t="s">
        <v>32</v>
      </c>
      <c r="B35" s="1" t="s">
        <v>51</v>
      </c>
      <c r="C35" s="1">
        <v>6187</v>
      </c>
      <c r="D35" s="1">
        <v>1</v>
      </c>
      <c r="E35" s="1">
        <v>93382</v>
      </c>
      <c r="F35" s="2" t="s">
        <v>52</v>
      </c>
      <c r="G35" s="1" t="s">
        <v>73</v>
      </c>
      <c r="I35" s="1">
        <v>545</v>
      </c>
      <c r="J35" s="1" t="s">
        <v>35</v>
      </c>
      <c r="K35" s="1" t="s">
        <v>36</v>
      </c>
      <c r="L35" s="1" t="s">
        <v>37</v>
      </c>
      <c r="M35" s="1" t="s">
        <v>54</v>
      </c>
      <c r="N35" s="1">
        <v>221</v>
      </c>
      <c r="O35" s="1">
        <v>201</v>
      </c>
      <c r="P35" s="1">
        <v>0.24999993599999901</v>
      </c>
      <c r="Q35" s="1" t="s">
        <v>55</v>
      </c>
      <c r="R35" s="1">
        <v>96</v>
      </c>
      <c r="S35" s="1">
        <v>655271.3125</v>
      </c>
    </row>
    <row r="36" spans="1:19" ht="15.75" customHeight="1" x14ac:dyDescent="0.15">
      <c r="A36" s="1" t="s">
        <v>32</v>
      </c>
      <c r="B36" s="1" t="s">
        <v>51</v>
      </c>
      <c r="C36" s="1">
        <v>6187</v>
      </c>
      <c r="D36" s="1">
        <v>1</v>
      </c>
      <c r="E36" s="1">
        <v>93382</v>
      </c>
      <c r="F36" s="2" t="s">
        <v>52</v>
      </c>
      <c r="G36" s="1" t="s">
        <v>74</v>
      </c>
      <c r="I36" s="1">
        <v>545</v>
      </c>
      <c r="J36" s="1" t="s">
        <v>35</v>
      </c>
      <c r="K36" s="1" t="s">
        <v>36</v>
      </c>
      <c r="L36" s="1" t="s">
        <v>37</v>
      </c>
      <c r="M36" s="1" t="s">
        <v>54</v>
      </c>
      <c r="N36" s="1">
        <v>221</v>
      </c>
      <c r="O36" s="1">
        <v>201</v>
      </c>
      <c r="P36" s="1">
        <v>0.24999993599999901</v>
      </c>
      <c r="Q36" s="1" t="s">
        <v>55</v>
      </c>
      <c r="R36" s="1">
        <v>96</v>
      </c>
      <c r="S36" s="1">
        <v>630968.46880000003</v>
      </c>
    </row>
    <row r="37" spans="1:19" ht="15.75" customHeight="1" x14ac:dyDescent="0.15">
      <c r="A37" s="1" t="s">
        <v>32</v>
      </c>
      <c r="B37" s="1" t="s">
        <v>51</v>
      </c>
      <c r="C37" s="1">
        <v>6187</v>
      </c>
      <c r="D37" s="1">
        <v>2</v>
      </c>
      <c r="E37" s="1">
        <v>93382</v>
      </c>
      <c r="F37" s="2" t="s">
        <v>52</v>
      </c>
      <c r="G37" s="1" t="s">
        <v>71</v>
      </c>
      <c r="I37" s="1">
        <v>545</v>
      </c>
      <c r="J37" s="1" t="s">
        <v>35</v>
      </c>
      <c r="K37" s="1" t="s">
        <v>36</v>
      </c>
      <c r="L37" s="1" t="s">
        <v>37</v>
      </c>
      <c r="M37" s="1" t="s">
        <v>54</v>
      </c>
      <c r="N37" s="1">
        <v>221</v>
      </c>
      <c r="O37" s="1">
        <v>201</v>
      </c>
      <c r="P37" s="1">
        <v>0.24999993599999901</v>
      </c>
      <c r="Q37" s="1" t="s">
        <v>55</v>
      </c>
      <c r="R37" s="1">
        <v>96</v>
      </c>
      <c r="S37" s="1">
        <v>589232.14580000006</v>
      </c>
    </row>
    <row r="38" spans="1:19" ht="15.75" customHeight="1" x14ac:dyDescent="0.15">
      <c r="A38" s="1" t="s">
        <v>32</v>
      </c>
      <c r="B38" s="1" t="s">
        <v>51</v>
      </c>
      <c r="C38" s="1">
        <v>6187</v>
      </c>
      <c r="D38" s="1">
        <v>2</v>
      </c>
      <c r="E38" s="1">
        <v>93382</v>
      </c>
      <c r="F38" s="2" t="s">
        <v>52</v>
      </c>
      <c r="G38" s="1" t="s">
        <v>72</v>
      </c>
      <c r="I38" s="1">
        <v>545</v>
      </c>
      <c r="J38" s="1" t="s">
        <v>35</v>
      </c>
      <c r="K38" s="1" t="s">
        <v>36</v>
      </c>
      <c r="L38" s="1" t="s">
        <v>37</v>
      </c>
      <c r="M38" s="1" t="s">
        <v>54</v>
      </c>
      <c r="N38" s="1">
        <v>221</v>
      </c>
      <c r="O38" s="1">
        <v>201</v>
      </c>
      <c r="P38" s="1">
        <v>0.24999993599999901</v>
      </c>
      <c r="Q38" s="1" t="s">
        <v>55</v>
      </c>
      <c r="R38" s="1">
        <v>96</v>
      </c>
      <c r="S38" s="1">
        <v>355522.84379999997</v>
      </c>
    </row>
    <row r="39" spans="1:19" ht="15.75" customHeight="1" x14ac:dyDescent="0.15">
      <c r="A39" s="1" t="s">
        <v>32</v>
      </c>
      <c r="B39" s="1" t="s">
        <v>51</v>
      </c>
      <c r="C39" s="1">
        <v>6187</v>
      </c>
      <c r="D39" s="1">
        <v>2</v>
      </c>
      <c r="E39" s="1">
        <v>93382</v>
      </c>
      <c r="F39" s="2" t="s">
        <v>52</v>
      </c>
      <c r="G39" s="1" t="s">
        <v>73</v>
      </c>
      <c r="I39" s="1">
        <v>545</v>
      </c>
      <c r="J39" s="1" t="s">
        <v>35</v>
      </c>
      <c r="K39" s="1" t="s">
        <v>36</v>
      </c>
      <c r="L39" s="1" t="s">
        <v>37</v>
      </c>
      <c r="M39" s="1" t="s">
        <v>54</v>
      </c>
      <c r="N39" s="1">
        <v>221</v>
      </c>
      <c r="O39" s="1">
        <v>201</v>
      </c>
      <c r="P39" s="1">
        <v>0.24999993599999901</v>
      </c>
      <c r="Q39" s="1" t="s">
        <v>55</v>
      </c>
      <c r="R39" s="1">
        <v>96</v>
      </c>
      <c r="S39" s="1">
        <v>656299.11459999997</v>
      </c>
    </row>
    <row r="40" spans="1:19" ht="15.75" customHeight="1" x14ac:dyDescent="0.15">
      <c r="A40" s="1" t="s">
        <v>32</v>
      </c>
      <c r="B40" s="1" t="s">
        <v>51</v>
      </c>
      <c r="C40" s="1">
        <v>6187</v>
      </c>
      <c r="D40" s="1">
        <v>2</v>
      </c>
      <c r="E40" s="1">
        <v>93382</v>
      </c>
      <c r="F40" s="2" t="s">
        <v>52</v>
      </c>
      <c r="G40" s="1" t="s">
        <v>74</v>
      </c>
      <c r="I40" s="1">
        <v>545</v>
      </c>
      <c r="J40" s="1" t="s">
        <v>35</v>
      </c>
      <c r="K40" s="1" t="s">
        <v>36</v>
      </c>
      <c r="L40" s="1" t="s">
        <v>37</v>
      </c>
      <c r="M40" s="1" t="s">
        <v>54</v>
      </c>
      <c r="N40" s="1">
        <v>221</v>
      </c>
      <c r="O40" s="1">
        <v>201</v>
      </c>
      <c r="P40" s="1">
        <v>0.24999993599999901</v>
      </c>
      <c r="Q40" s="1" t="s">
        <v>55</v>
      </c>
      <c r="R40" s="1">
        <v>96</v>
      </c>
      <c r="S40" s="1">
        <v>632020.59380000003</v>
      </c>
    </row>
    <row r="41" spans="1:19" ht="15.75" customHeight="1" x14ac:dyDescent="0.15">
      <c r="A41" s="1" t="s">
        <v>32</v>
      </c>
      <c r="B41" s="1" t="s">
        <v>51</v>
      </c>
      <c r="C41" s="1">
        <v>6187</v>
      </c>
      <c r="D41" s="1">
        <v>1</v>
      </c>
      <c r="E41" s="1">
        <v>93383</v>
      </c>
      <c r="F41" s="2" t="s">
        <v>52</v>
      </c>
      <c r="G41" s="1" t="s">
        <v>75</v>
      </c>
      <c r="I41" s="1">
        <v>545</v>
      </c>
      <c r="J41" s="1" t="s">
        <v>35</v>
      </c>
      <c r="K41" s="1" t="s">
        <v>36</v>
      </c>
      <c r="L41" s="1" t="s">
        <v>37</v>
      </c>
      <c r="M41" s="1" t="s">
        <v>54</v>
      </c>
      <c r="N41" s="1">
        <v>221</v>
      </c>
      <c r="O41" s="1">
        <v>201</v>
      </c>
      <c r="P41" s="1">
        <v>0.24999993599999901</v>
      </c>
      <c r="Q41" s="1" t="s">
        <v>55</v>
      </c>
      <c r="R41" s="1">
        <v>96</v>
      </c>
      <c r="S41" s="1">
        <v>635348.33330000006</v>
      </c>
    </row>
    <row r="42" spans="1:19" ht="15.75" customHeight="1" x14ac:dyDescent="0.15">
      <c r="A42" s="1" t="s">
        <v>32</v>
      </c>
      <c r="B42" s="1" t="s">
        <v>51</v>
      </c>
      <c r="C42" s="1">
        <v>6187</v>
      </c>
      <c r="D42" s="1">
        <v>1</v>
      </c>
      <c r="E42" s="1">
        <v>93383</v>
      </c>
      <c r="F42" s="2" t="s">
        <v>52</v>
      </c>
      <c r="G42" s="1" t="s">
        <v>76</v>
      </c>
      <c r="I42" s="1">
        <v>545</v>
      </c>
      <c r="J42" s="1" t="s">
        <v>35</v>
      </c>
      <c r="K42" s="1" t="s">
        <v>36</v>
      </c>
      <c r="L42" s="1" t="s">
        <v>37</v>
      </c>
      <c r="M42" s="1" t="s">
        <v>54</v>
      </c>
      <c r="N42" s="1">
        <v>221</v>
      </c>
      <c r="O42" s="1">
        <v>201</v>
      </c>
      <c r="P42" s="1">
        <v>0.24999993599999901</v>
      </c>
      <c r="Q42" s="1" t="s">
        <v>55</v>
      </c>
      <c r="R42" s="1">
        <v>96</v>
      </c>
      <c r="S42" s="1">
        <v>397381.80209999997</v>
      </c>
    </row>
    <row r="43" spans="1:19" ht="15.75" customHeight="1" x14ac:dyDescent="0.15">
      <c r="A43" s="1" t="s">
        <v>32</v>
      </c>
      <c r="B43" s="1" t="s">
        <v>51</v>
      </c>
      <c r="C43" s="1">
        <v>6187</v>
      </c>
      <c r="D43" s="1">
        <v>1</v>
      </c>
      <c r="E43" s="1">
        <v>93383</v>
      </c>
      <c r="F43" s="2" t="s">
        <v>52</v>
      </c>
      <c r="G43" s="1" t="s">
        <v>77</v>
      </c>
      <c r="I43" s="1">
        <v>545</v>
      </c>
      <c r="J43" s="1" t="s">
        <v>35</v>
      </c>
      <c r="K43" s="1" t="s">
        <v>36</v>
      </c>
      <c r="L43" s="1" t="s">
        <v>37</v>
      </c>
      <c r="M43" s="1" t="s">
        <v>54</v>
      </c>
      <c r="N43" s="1">
        <v>221</v>
      </c>
      <c r="O43" s="1">
        <v>201</v>
      </c>
      <c r="P43" s="1">
        <v>0.24999993599999901</v>
      </c>
      <c r="Q43" s="1" t="s">
        <v>55</v>
      </c>
      <c r="R43" s="1">
        <v>96</v>
      </c>
      <c r="S43" s="1">
        <v>625778.15630000003</v>
      </c>
    </row>
    <row r="44" spans="1:19" ht="15.75" customHeight="1" x14ac:dyDescent="0.15">
      <c r="A44" s="1" t="s">
        <v>32</v>
      </c>
      <c r="B44" s="1" t="s">
        <v>51</v>
      </c>
      <c r="C44" s="1">
        <v>6187</v>
      </c>
      <c r="D44" s="1">
        <v>1</v>
      </c>
      <c r="E44" s="1">
        <v>93383</v>
      </c>
      <c r="F44" s="2" t="s">
        <v>52</v>
      </c>
      <c r="G44" s="1" t="s">
        <v>78</v>
      </c>
      <c r="I44" s="1">
        <v>545</v>
      </c>
      <c r="J44" s="1" t="s">
        <v>35</v>
      </c>
      <c r="K44" s="1" t="s">
        <v>36</v>
      </c>
      <c r="L44" s="1" t="s">
        <v>37</v>
      </c>
      <c r="M44" s="1" t="s">
        <v>54</v>
      </c>
      <c r="N44" s="1">
        <v>221</v>
      </c>
      <c r="O44" s="1">
        <v>201</v>
      </c>
      <c r="P44" s="1">
        <v>0.24999993599999901</v>
      </c>
      <c r="Q44" s="1" t="s">
        <v>55</v>
      </c>
      <c r="R44" s="1">
        <v>96</v>
      </c>
      <c r="S44" s="1">
        <v>404327.57290000003</v>
      </c>
    </row>
    <row r="45" spans="1:19" ht="15.75" customHeight="1" x14ac:dyDescent="0.15">
      <c r="A45" s="1" t="s">
        <v>32</v>
      </c>
      <c r="B45" s="1" t="s">
        <v>51</v>
      </c>
      <c r="C45" s="1">
        <v>6187</v>
      </c>
      <c r="D45" s="1">
        <v>2</v>
      </c>
      <c r="E45" s="1">
        <v>93383</v>
      </c>
      <c r="F45" s="2" t="s">
        <v>52</v>
      </c>
      <c r="G45" s="1" t="s">
        <v>79</v>
      </c>
      <c r="I45" s="1">
        <v>545</v>
      </c>
      <c r="J45" s="1" t="s">
        <v>35</v>
      </c>
      <c r="K45" s="1" t="s">
        <v>36</v>
      </c>
      <c r="L45" s="1" t="s">
        <v>37</v>
      </c>
      <c r="M45" s="1" t="s">
        <v>54</v>
      </c>
      <c r="N45" s="1">
        <v>221</v>
      </c>
      <c r="O45" s="1">
        <v>201</v>
      </c>
      <c r="P45" s="1">
        <v>0.24999993599999901</v>
      </c>
      <c r="Q45" s="1" t="s">
        <v>55</v>
      </c>
      <c r="R45" s="1">
        <v>96</v>
      </c>
      <c r="S45" s="1">
        <v>560923.85419999994</v>
      </c>
    </row>
    <row r="46" spans="1:19" ht="15.75" customHeight="1" x14ac:dyDescent="0.15">
      <c r="A46" s="1" t="s">
        <v>32</v>
      </c>
      <c r="B46" s="1" t="s">
        <v>51</v>
      </c>
      <c r="C46" s="1">
        <v>6187</v>
      </c>
      <c r="D46" s="1">
        <v>2</v>
      </c>
      <c r="E46" s="1">
        <v>93383</v>
      </c>
      <c r="F46" s="2" t="s">
        <v>52</v>
      </c>
      <c r="G46" s="1" t="s">
        <v>80</v>
      </c>
      <c r="I46" s="1">
        <v>545</v>
      </c>
      <c r="J46" s="1" t="s">
        <v>35</v>
      </c>
      <c r="K46" s="1" t="s">
        <v>36</v>
      </c>
      <c r="L46" s="1" t="s">
        <v>37</v>
      </c>
      <c r="M46" s="1" t="s">
        <v>54</v>
      </c>
      <c r="N46" s="1">
        <v>221</v>
      </c>
      <c r="O46" s="1">
        <v>201</v>
      </c>
      <c r="P46" s="1">
        <v>0.24999993599999901</v>
      </c>
      <c r="Q46" s="1" t="s">
        <v>55</v>
      </c>
      <c r="R46" s="1">
        <v>96</v>
      </c>
      <c r="S46" s="1">
        <v>425041.63540000003</v>
      </c>
    </row>
    <row r="47" spans="1:19" ht="15.75" customHeight="1" x14ac:dyDescent="0.15">
      <c r="A47" s="1" t="s">
        <v>32</v>
      </c>
      <c r="B47" s="1" t="s">
        <v>51</v>
      </c>
      <c r="C47" s="1">
        <v>6187</v>
      </c>
      <c r="D47" s="1">
        <v>2</v>
      </c>
      <c r="E47" s="1">
        <v>93383</v>
      </c>
      <c r="F47" s="2" t="s">
        <v>52</v>
      </c>
      <c r="G47" s="1" t="s">
        <v>81</v>
      </c>
      <c r="I47" s="1">
        <v>545</v>
      </c>
      <c r="J47" s="1" t="s">
        <v>35</v>
      </c>
      <c r="K47" s="1" t="s">
        <v>36</v>
      </c>
      <c r="L47" s="1" t="s">
        <v>37</v>
      </c>
      <c r="M47" s="1" t="s">
        <v>54</v>
      </c>
      <c r="N47" s="1">
        <v>221</v>
      </c>
      <c r="O47" s="1">
        <v>201</v>
      </c>
      <c r="P47" s="1">
        <v>0.24999993599999901</v>
      </c>
      <c r="Q47" s="1" t="s">
        <v>55</v>
      </c>
      <c r="R47" s="1">
        <v>96</v>
      </c>
      <c r="S47" s="1">
        <v>603064.23959999997</v>
      </c>
    </row>
    <row r="48" spans="1:19" ht="15.75" customHeight="1" x14ac:dyDescent="0.15">
      <c r="A48" s="1" t="s">
        <v>32</v>
      </c>
      <c r="B48" s="1" t="s">
        <v>51</v>
      </c>
      <c r="C48" s="1">
        <v>6187</v>
      </c>
      <c r="D48" s="1">
        <v>2</v>
      </c>
      <c r="E48" s="1">
        <v>93383</v>
      </c>
      <c r="F48" s="2" t="s">
        <v>52</v>
      </c>
      <c r="G48" s="1" t="s">
        <v>82</v>
      </c>
      <c r="I48" s="1">
        <v>545</v>
      </c>
      <c r="J48" s="1" t="s">
        <v>35</v>
      </c>
      <c r="K48" s="1" t="s">
        <v>36</v>
      </c>
      <c r="L48" s="1" t="s">
        <v>37</v>
      </c>
      <c r="M48" s="1" t="s">
        <v>54</v>
      </c>
      <c r="N48" s="1">
        <v>221</v>
      </c>
      <c r="O48" s="1">
        <v>201</v>
      </c>
      <c r="P48" s="1">
        <v>0.24999993599999901</v>
      </c>
      <c r="Q48" s="1" t="s">
        <v>55</v>
      </c>
      <c r="R48" s="1">
        <v>96</v>
      </c>
      <c r="S48" s="1">
        <v>635298.51040000003</v>
      </c>
    </row>
    <row r="49" spans="1:19" ht="15.75" customHeight="1" x14ac:dyDescent="0.15">
      <c r="A49" s="1" t="s">
        <v>32</v>
      </c>
      <c r="B49" s="1" t="s">
        <v>51</v>
      </c>
      <c r="C49" s="1">
        <v>6187</v>
      </c>
      <c r="D49" s="1">
        <v>1</v>
      </c>
      <c r="E49" s="1">
        <v>93384</v>
      </c>
      <c r="F49" s="2" t="s">
        <v>52</v>
      </c>
      <c r="G49" s="1" t="s">
        <v>83</v>
      </c>
      <c r="I49" s="1">
        <v>545</v>
      </c>
      <c r="J49" s="1" t="s">
        <v>35</v>
      </c>
      <c r="K49" s="1" t="s">
        <v>36</v>
      </c>
      <c r="L49" s="1" t="s">
        <v>37</v>
      </c>
      <c r="M49" s="1" t="s">
        <v>54</v>
      </c>
      <c r="N49" s="1">
        <v>221</v>
      </c>
      <c r="O49" s="1">
        <v>201</v>
      </c>
      <c r="P49" s="1">
        <v>0.24999993599999901</v>
      </c>
      <c r="Q49" s="1" t="s">
        <v>55</v>
      </c>
      <c r="R49" s="1">
        <v>96</v>
      </c>
      <c r="S49" s="1">
        <v>759047.14580000006</v>
      </c>
    </row>
    <row r="50" spans="1:19" ht="15.75" customHeight="1" x14ac:dyDescent="0.15">
      <c r="A50" s="1" t="s">
        <v>32</v>
      </c>
      <c r="B50" s="1" t="s">
        <v>51</v>
      </c>
      <c r="C50" s="1">
        <v>6187</v>
      </c>
      <c r="D50" s="1">
        <v>1</v>
      </c>
      <c r="E50" s="1">
        <v>93384</v>
      </c>
      <c r="F50" s="2" t="s">
        <v>52</v>
      </c>
      <c r="G50" s="1" t="s">
        <v>84</v>
      </c>
      <c r="I50" s="1">
        <v>545</v>
      </c>
      <c r="J50" s="1" t="s">
        <v>35</v>
      </c>
      <c r="K50" s="1" t="s">
        <v>36</v>
      </c>
      <c r="L50" s="1" t="s">
        <v>37</v>
      </c>
      <c r="M50" s="1" t="s">
        <v>54</v>
      </c>
      <c r="N50" s="1">
        <v>221</v>
      </c>
      <c r="O50" s="1">
        <v>201</v>
      </c>
      <c r="P50" s="1">
        <v>0.24999993599999901</v>
      </c>
      <c r="Q50" s="1" t="s">
        <v>55</v>
      </c>
      <c r="R50" s="1">
        <v>96</v>
      </c>
      <c r="S50" s="1">
        <v>447303.01040000003</v>
      </c>
    </row>
    <row r="51" spans="1:19" ht="15.75" customHeight="1" x14ac:dyDescent="0.15">
      <c r="A51" s="1" t="s">
        <v>32</v>
      </c>
      <c r="B51" s="1" t="s">
        <v>51</v>
      </c>
      <c r="C51" s="1">
        <v>6187</v>
      </c>
      <c r="D51" s="1">
        <v>1</v>
      </c>
      <c r="E51" s="1">
        <v>93384</v>
      </c>
      <c r="F51" s="2" t="s">
        <v>52</v>
      </c>
      <c r="G51" s="1" t="s">
        <v>85</v>
      </c>
      <c r="I51" s="1">
        <v>545</v>
      </c>
      <c r="J51" s="1" t="s">
        <v>35</v>
      </c>
      <c r="K51" s="1" t="s">
        <v>36</v>
      </c>
      <c r="L51" s="1" t="s">
        <v>37</v>
      </c>
      <c r="M51" s="1" t="s">
        <v>54</v>
      </c>
      <c r="N51" s="1">
        <v>221</v>
      </c>
      <c r="O51" s="1">
        <v>201</v>
      </c>
      <c r="P51" s="1">
        <v>0.24999993599999901</v>
      </c>
      <c r="Q51" s="1" t="s">
        <v>55</v>
      </c>
      <c r="R51" s="1">
        <v>96</v>
      </c>
      <c r="S51" s="1">
        <v>447650.63540000003</v>
      </c>
    </row>
    <row r="52" spans="1:19" ht="15.75" customHeight="1" x14ac:dyDescent="0.15">
      <c r="A52" s="1" t="s">
        <v>32</v>
      </c>
      <c r="B52" s="1" t="s">
        <v>51</v>
      </c>
      <c r="C52" s="1">
        <v>6187</v>
      </c>
      <c r="D52" s="1">
        <v>1</v>
      </c>
      <c r="E52" s="1">
        <v>93384</v>
      </c>
      <c r="F52" s="2" t="s">
        <v>52</v>
      </c>
      <c r="G52" s="1" t="s">
        <v>86</v>
      </c>
      <c r="I52" s="1">
        <v>545</v>
      </c>
      <c r="J52" s="1" t="s">
        <v>35</v>
      </c>
      <c r="K52" s="1" t="s">
        <v>36</v>
      </c>
      <c r="L52" s="1" t="s">
        <v>37</v>
      </c>
      <c r="M52" s="1" t="s">
        <v>54</v>
      </c>
      <c r="N52" s="1">
        <v>221</v>
      </c>
      <c r="O52" s="1">
        <v>201</v>
      </c>
      <c r="P52" s="1">
        <v>0.24999993599999901</v>
      </c>
      <c r="Q52" s="1" t="s">
        <v>55</v>
      </c>
      <c r="R52" s="1">
        <v>96</v>
      </c>
      <c r="S52" s="1">
        <v>513768.05209999997</v>
      </c>
    </row>
    <row r="53" spans="1:19" ht="15.75" customHeight="1" x14ac:dyDescent="0.15">
      <c r="A53" s="1" t="s">
        <v>32</v>
      </c>
      <c r="B53" s="1" t="s">
        <v>51</v>
      </c>
      <c r="C53" s="1">
        <v>6187</v>
      </c>
      <c r="D53" s="1">
        <v>2</v>
      </c>
      <c r="E53" s="1">
        <v>93384</v>
      </c>
      <c r="F53" s="2" t="s">
        <v>52</v>
      </c>
      <c r="G53" s="1" t="s">
        <v>83</v>
      </c>
      <c r="I53" s="1">
        <v>545</v>
      </c>
      <c r="J53" s="1" t="s">
        <v>35</v>
      </c>
      <c r="K53" s="1" t="s">
        <v>36</v>
      </c>
      <c r="L53" s="1" t="s">
        <v>37</v>
      </c>
      <c r="M53" s="1" t="s">
        <v>54</v>
      </c>
      <c r="N53" s="1">
        <v>221</v>
      </c>
      <c r="O53" s="1">
        <v>201</v>
      </c>
      <c r="P53" s="1">
        <v>0.24999993599999901</v>
      </c>
      <c r="Q53" s="1" t="s">
        <v>55</v>
      </c>
      <c r="R53" s="1">
        <v>96</v>
      </c>
      <c r="S53" s="1">
        <v>756721.01040000003</v>
      </c>
    </row>
    <row r="54" spans="1:19" ht="15.75" customHeight="1" x14ac:dyDescent="0.15">
      <c r="A54" s="1" t="s">
        <v>32</v>
      </c>
      <c r="B54" s="1" t="s">
        <v>51</v>
      </c>
      <c r="C54" s="1">
        <v>6187</v>
      </c>
      <c r="D54" s="1">
        <v>2</v>
      </c>
      <c r="E54" s="1">
        <v>93384</v>
      </c>
      <c r="F54" s="2" t="s">
        <v>52</v>
      </c>
      <c r="G54" s="1" t="s">
        <v>84</v>
      </c>
      <c r="I54" s="1">
        <v>545</v>
      </c>
      <c r="J54" s="1" t="s">
        <v>35</v>
      </c>
      <c r="K54" s="1" t="s">
        <v>36</v>
      </c>
      <c r="L54" s="1" t="s">
        <v>37</v>
      </c>
      <c r="M54" s="1" t="s">
        <v>54</v>
      </c>
      <c r="N54" s="1">
        <v>221</v>
      </c>
      <c r="O54" s="1">
        <v>201</v>
      </c>
      <c r="P54" s="1">
        <v>0.24999993599999901</v>
      </c>
      <c r="Q54" s="1" t="s">
        <v>55</v>
      </c>
      <c r="R54" s="1">
        <v>96</v>
      </c>
      <c r="S54" s="1">
        <v>446111.53129999997</v>
      </c>
    </row>
    <row r="55" spans="1:19" ht="15.75" customHeight="1" x14ac:dyDescent="0.15">
      <c r="A55" s="1" t="s">
        <v>32</v>
      </c>
      <c r="B55" s="1" t="s">
        <v>51</v>
      </c>
      <c r="C55" s="1">
        <v>6187</v>
      </c>
      <c r="D55" s="1">
        <v>2</v>
      </c>
      <c r="E55" s="1">
        <v>93384</v>
      </c>
      <c r="F55" s="2" t="s">
        <v>52</v>
      </c>
      <c r="G55" s="1" t="s">
        <v>85</v>
      </c>
      <c r="I55" s="1">
        <v>545</v>
      </c>
      <c r="J55" s="1" t="s">
        <v>35</v>
      </c>
      <c r="K55" s="1" t="s">
        <v>36</v>
      </c>
      <c r="L55" s="1" t="s">
        <v>37</v>
      </c>
      <c r="M55" s="1" t="s">
        <v>54</v>
      </c>
      <c r="N55" s="1">
        <v>221</v>
      </c>
      <c r="O55" s="1">
        <v>201</v>
      </c>
      <c r="P55" s="1">
        <v>0.24999993599999901</v>
      </c>
      <c r="Q55" s="1" t="s">
        <v>55</v>
      </c>
      <c r="R55" s="1">
        <v>96</v>
      </c>
      <c r="S55" s="1">
        <v>446548.53129999997</v>
      </c>
    </row>
    <row r="56" spans="1:19" ht="15.75" customHeight="1" x14ac:dyDescent="0.15">
      <c r="A56" s="1" t="s">
        <v>32</v>
      </c>
      <c r="B56" s="1" t="s">
        <v>51</v>
      </c>
      <c r="C56" s="1">
        <v>6187</v>
      </c>
      <c r="D56" s="1">
        <v>2</v>
      </c>
      <c r="E56" s="1">
        <v>93384</v>
      </c>
      <c r="F56" s="2" t="s">
        <v>52</v>
      </c>
      <c r="G56" s="1" t="s">
        <v>86</v>
      </c>
      <c r="I56" s="1">
        <v>545</v>
      </c>
      <c r="J56" s="1" t="s">
        <v>35</v>
      </c>
      <c r="K56" s="1" t="s">
        <v>36</v>
      </c>
      <c r="L56" s="1" t="s">
        <v>37</v>
      </c>
      <c r="M56" s="1" t="s">
        <v>54</v>
      </c>
      <c r="N56" s="1">
        <v>221</v>
      </c>
      <c r="O56" s="1">
        <v>201</v>
      </c>
      <c r="P56" s="1">
        <v>0.24999993599999901</v>
      </c>
      <c r="Q56" s="1" t="s">
        <v>55</v>
      </c>
      <c r="R56" s="1">
        <v>96</v>
      </c>
      <c r="S56" s="1">
        <v>512112.6458</v>
      </c>
    </row>
    <row r="57" spans="1:19" ht="28" x14ac:dyDescent="0.15">
      <c r="A57" s="1" t="s">
        <v>32</v>
      </c>
      <c r="B57" s="1" t="s">
        <v>87</v>
      </c>
      <c r="C57" s="1">
        <v>6595</v>
      </c>
      <c r="D57" s="1">
        <v>1</v>
      </c>
      <c r="E57" s="1">
        <v>93290</v>
      </c>
      <c r="F57" s="2" t="s">
        <v>88</v>
      </c>
      <c r="G57" s="1" t="s">
        <v>89</v>
      </c>
      <c r="I57" s="1">
        <v>330</v>
      </c>
      <c r="J57" s="1" t="s">
        <v>35</v>
      </c>
      <c r="K57" s="1" t="s">
        <v>90</v>
      </c>
      <c r="L57" s="1" t="s">
        <v>37</v>
      </c>
      <c r="M57" s="1" t="s">
        <v>38</v>
      </c>
      <c r="N57" s="1">
        <v>101</v>
      </c>
      <c r="O57" s="1">
        <v>101</v>
      </c>
      <c r="P57" s="1">
        <v>0.39583330799999999</v>
      </c>
      <c r="Q57" s="1" t="s">
        <v>91</v>
      </c>
      <c r="R57" s="1">
        <v>38</v>
      </c>
      <c r="S57" s="1">
        <v>5979671.6052999999</v>
      </c>
    </row>
    <row r="58" spans="1:19" ht="28" x14ac:dyDescent="0.15">
      <c r="A58" s="1" t="s">
        <v>32</v>
      </c>
      <c r="B58" s="1" t="s">
        <v>87</v>
      </c>
      <c r="C58" s="1">
        <v>6595</v>
      </c>
      <c r="D58" s="1">
        <v>1</v>
      </c>
      <c r="E58" s="1">
        <v>93290</v>
      </c>
      <c r="F58" s="2" t="s">
        <v>88</v>
      </c>
      <c r="G58" s="1" t="s">
        <v>92</v>
      </c>
      <c r="I58" s="1">
        <v>330</v>
      </c>
      <c r="J58" s="1" t="s">
        <v>35</v>
      </c>
      <c r="K58" s="1" t="s">
        <v>90</v>
      </c>
      <c r="L58" s="1" t="s">
        <v>37</v>
      </c>
      <c r="M58" s="1" t="s">
        <v>38</v>
      </c>
      <c r="N58" s="1">
        <v>101</v>
      </c>
      <c r="O58" s="1">
        <v>101</v>
      </c>
      <c r="P58" s="1">
        <v>0.124999992</v>
      </c>
      <c r="Q58" s="1" t="s">
        <v>91</v>
      </c>
      <c r="R58" s="1">
        <v>12</v>
      </c>
      <c r="S58" s="1">
        <v>6062723.75</v>
      </c>
    </row>
    <row r="59" spans="1:19" ht="28" x14ac:dyDescent="0.15">
      <c r="A59" s="1" t="s">
        <v>32</v>
      </c>
      <c r="B59" s="1" t="s">
        <v>87</v>
      </c>
      <c r="C59" s="1">
        <v>6595</v>
      </c>
      <c r="D59" s="1">
        <v>1</v>
      </c>
      <c r="E59" s="1">
        <v>93290</v>
      </c>
      <c r="F59" s="2" t="s">
        <v>88</v>
      </c>
      <c r="G59" s="1" t="s">
        <v>93</v>
      </c>
      <c r="I59" s="1">
        <v>330</v>
      </c>
      <c r="J59" s="1" t="s">
        <v>35</v>
      </c>
      <c r="K59" s="1" t="s">
        <v>90</v>
      </c>
      <c r="L59" s="1" t="s">
        <v>37</v>
      </c>
      <c r="M59" s="1" t="s">
        <v>38</v>
      </c>
      <c r="N59" s="1">
        <v>101</v>
      </c>
      <c r="O59" s="1">
        <v>101</v>
      </c>
      <c r="P59" s="1">
        <v>0.114583326</v>
      </c>
      <c r="Q59" s="1" t="s">
        <v>91</v>
      </c>
      <c r="R59" s="1">
        <v>11</v>
      </c>
      <c r="S59" s="1">
        <v>5678927.4545</v>
      </c>
    </row>
    <row r="60" spans="1:19" ht="28" x14ac:dyDescent="0.15">
      <c r="A60" s="1" t="s">
        <v>32</v>
      </c>
      <c r="B60" s="1" t="s">
        <v>87</v>
      </c>
      <c r="C60" s="1">
        <v>6595</v>
      </c>
      <c r="D60" s="1">
        <v>1</v>
      </c>
      <c r="E60" s="1">
        <v>93290</v>
      </c>
      <c r="F60" s="2" t="s">
        <v>88</v>
      </c>
      <c r="G60" s="1" t="s">
        <v>94</v>
      </c>
      <c r="I60" s="1">
        <v>330</v>
      </c>
      <c r="J60" s="1" t="s">
        <v>35</v>
      </c>
      <c r="K60" s="1" t="s">
        <v>90</v>
      </c>
      <c r="L60" s="1" t="s">
        <v>37</v>
      </c>
      <c r="M60" s="1" t="s">
        <v>38</v>
      </c>
      <c r="N60" s="1">
        <v>101</v>
      </c>
      <c r="O60" s="1">
        <v>101</v>
      </c>
      <c r="P60" s="1">
        <v>0.36458330999999999</v>
      </c>
      <c r="Q60" s="1" t="s">
        <v>91</v>
      </c>
      <c r="R60" s="1">
        <v>35</v>
      </c>
      <c r="S60" s="1">
        <v>6093285.7714</v>
      </c>
    </row>
    <row r="61" spans="1:19" ht="28" x14ac:dyDescent="0.15">
      <c r="A61" s="1" t="s">
        <v>32</v>
      </c>
      <c r="B61" s="1" t="s">
        <v>87</v>
      </c>
      <c r="C61" s="1">
        <v>6595</v>
      </c>
      <c r="D61" s="1">
        <v>2</v>
      </c>
      <c r="E61" s="1">
        <v>93290</v>
      </c>
      <c r="F61" s="2" t="s">
        <v>88</v>
      </c>
      <c r="G61" s="1" t="s">
        <v>92</v>
      </c>
      <c r="I61" s="1">
        <v>330</v>
      </c>
      <c r="J61" s="1" t="s">
        <v>35</v>
      </c>
      <c r="K61" s="1" t="s">
        <v>90</v>
      </c>
      <c r="L61" s="1" t="s">
        <v>37</v>
      </c>
      <c r="M61" s="1" t="s">
        <v>38</v>
      </c>
      <c r="N61" s="1">
        <v>101</v>
      </c>
      <c r="O61" s="1">
        <v>101</v>
      </c>
      <c r="P61" s="1">
        <v>0.135416658</v>
      </c>
      <c r="Q61" s="1" t="s">
        <v>91</v>
      </c>
      <c r="R61" s="1">
        <v>13</v>
      </c>
      <c r="S61" s="1">
        <v>5896827.8461999996</v>
      </c>
    </row>
    <row r="62" spans="1:19" ht="28" x14ac:dyDescent="0.15">
      <c r="A62" s="1" t="s">
        <v>32</v>
      </c>
      <c r="B62" s="1" t="s">
        <v>87</v>
      </c>
      <c r="C62" s="1">
        <v>6595</v>
      </c>
      <c r="D62" s="1">
        <v>2</v>
      </c>
      <c r="E62" s="1">
        <v>93290</v>
      </c>
      <c r="F62" s="2" t="s">
        <v>88</v>
      </c>
      <c r="G62" s="1" t="s">
        <v>95</v>
      </c>
      <c r="I62" s="1">
        <v>330</v>
      </c>
      <c r="J62" s="1" t="s">
        <v>35</v>
      </c>
      <c r="K62" s="1" t="s">
        <v>90</v>
      </c>
      <c r="L62" s="1" t="s">
        <v>37</v>
      </c>
      <c r="M62" s="1" t="s">
        <v>38</v>
      </c>
      <c r="N62" s="1">
        <v>101</v>
      </c>
      <c r="O62" s="1">
        <v>101</v>
      </c>
      <c r="P62" s="1">
        <v>0.36458330999999999</v>
      </c>
      <c r="Q62" s="1" t="s">
        <v>91</v>
      </c>
      <c r="R62" s="1">
        <v>35</v>
      </c>
      <c r="S62" s="1">
        <v>5997595.2571</v>
      </c>
    </row>
    <row r="63" spans="1:19" ht="28" x14ac:dyDescent="0.15">
      <c r="A63" s="1" t="s">
        <v>32</v>
      </c>
      <c r="B63" s="1" t="s">
        <v>87</v>
      </c>
      <c r="C63" s="1">
        <v>6595</v>
      </c>
      <c r="D63" s="1">
        <v>2</v>
      </c>
      <c r="E63" s="1">
        <v>93290</v>
      </c>
      <c r="F63" s="2" t="s">
        <v>88</v>
      </c>
      <c r="G63" s="1" t="s">
        <v>96</v>
      </c>
      <c r="I63" s="1">
        <v>330</v>
      </c>
      <c r="J63" s="1" t="s">
        <v>35</v>
      </c>
      <c r="K63" s="1" t="s">
        <v>90</v>
      </c>
      <c r="L63" s="1" t="s">
        <v>37</v>
      </c>
      <c r="M63" s="1" t="s">
        <v>38</v>
      </c>
      <c r="N63" s="1">
        <v>101</v>
      </c>
      <c r="O63" s="1">
        <v>101</v>
      </c>
      <c r="P63" s="1">
        <v>0.458333304</v>
      </c>
      <c r="Q63" s="1" t="s">
        <v>91</v>
      </c>
      <c r="R63" s="1">
        <v>44</v>
      </c>
      <c r="S63" s="1">
        <v>5953214.5909000002</v>
      </c>
    </row>
    <row r="64" spans="1:19" ht="28" x14ac:dyDescent="0.15">
      <c r="A64" s="1" t="s">
        <v>32</v>
      </c>
      <c r="B64" s="1" t="s">
        <v>87</v>
      </c>
      <c r="C64" s="1">
        <v>6595</v>
      </c>
      <c r="D64" s="1">
        <v>2</v>
      </c>
      <c r="E64" s="1">
        <v>93290</v>
      </c>
      <c r="F64" s="2" t="s">
        <v>88</v>
      </c>
      <c r="G64" s="1" t="s">
        <v>97</v>
      </c>
      <c r="I64" s="1">
        <v>330</v>
      </c>
      <c r="J64" s="1" t="s">
        <v>35</v>
      </c>
      <c r="K64" s="1" t="s">
        <v>90</v>
      </c>
      <c r="L64" s="1" t="s">
        <v>37</v>
      </c>
      <c r="M64" s="1" t="s">
        <v>38</v>
      </c>
      <c r="N64" s="1">
        <v>101</v>
      </c>
      <c r="O64" s="1">
        <v>101</v>
      </c>
      <c r="P64" s="1">
        <v>4.1666663999999999E-2</v>
      </c>
      <c r="Q64" s="1" t="s">
        <v>91</v>
      </c>
      <c r="R64" s="1">
        <v>4</v>
      </c>
      <c r="S64" s="1">
        <v>6803400.25</v>
      </c>
    </row>
    <row r="65" spans="1:19" ht="28" x14ac:dyDescent="0.15">
      <c r="A65" s="1" t="s">
        <v>32</v>
      </c>
      <c r="B65" s="1" t="s">
        <v>87</v>
      </c>
      <c r="C65" s="1">
        <v>6595</v>
      </c>
      <c r="D65" s="1">
        <v>3</v>
      </c>
      <c r="E65" s="1">
        <v>93290</v>
      </c>
      <c r="F65" s="2" t="s">
        <v>88</v>
      </c>
      <c r="G65" s="1" t="s">
        <v>95</v>
      </c>
      <c r="I65" s="1">
        <v>330</v>
      </c>
      <c r="J65" s="1" t="s">
        <v>35</v>
      </c>
      <c r="K65" s="1" t="s">
        <v>90</v>
      </c>
      <c r="L65" s="1" t="s">
        <v>37</v>
      </c>
      <c r="M65" s="1" t="s">
        <v>38</v>
      </c>
      <c r="N65" s="1">
        <v>101</v>
      </c>
      <c r="O65" s="1">
        <v>101</v>
      </c>
      <c r="P65" s="1">
        <v>0.427083306</v>
      </c>
      <c r="Q65" s="1" t="s">
        <v>91</v>
      </c>
      <c r="R65" s="1">
        <v>41</v>
      </c>
      <c r="S65" s="1">
        <v>6344907.8293000003</v>
      </c>
    </row>
    <row r="66" spans="1:19" ht="28" x14ac:dyDescent="0.15">
      <c r="A66" s="1" t="s">
        <v>32</v>
      </c>
      <c r="B66" s="1" t="s">
        <v>87</v>
      </c>
      <c r="C66" s="1">
        <v>6595</v>
      </c>
      <c r="D66" s="1">
        <v>3</v>
      </c>
      <c r="E66" s="1">
        <v>93290</v>
      </c>
      <c r="F66" s="2" t="s">
        <v>88</v>
      </c>
      <c r="G66" s="1" t="s">
        <v>98</v>
      </c>
      <c r="I66" s="1">
        <v>330</v>
      </c>
      <c r="J66" s="1" t="s">
        <v>35</v>
      </c>
      <c r="K66" s="1" t="s">
        <v>90</v>
      </c>
      <c r="L66" s="1" t="s">
        <v>37</v>
      </c>
      <c r="M66" s="1" t="s">
        <v>38</v>
      </c>
      <c r="N66" s="1">
        <v>101</v>
      </c>
      <c r="O66" s="1">
        <v>101</v>
      </c>
      <c r="P66" s="1">
        <v>7.2916661999999993E-2</v>
      </c>
      <c r="Q66" s="1" t="s">
        <v>91</v>
      </c>
      <c r="R66" s="1">
        <v>7</v>
      </c>
      <c r="S66" s="1">
        <v>5508461.5713999998</v>
      </c>
    </row>
    <row r="67" spans="1:19" ht="28" x14ac:dyDescent="0.15">
      <c r="A67" s="1" t="s">
        <v>32</v>
      </c>
      <c r="B67" s="1" t="s">
        <v>87</v>
      </c>
      <c r="C67" s="1">
        <v>6595</v>
      </c>
      <c r="D67" s="1">
        <v>3</v>
      </c>
      <c r="E67" s="1">
        <v>93290</v>
      </c>
      <c r="F67" s="2" t="s">
        <v>88</v>
      </c>
      <c r="G67" s="1" t="s">
        <v>97</v>
      </c>
      <c r="I67" s="1">
        <v>330</v>
      </c>
      <c r="J67" s="1" t="s">
        <v>35</v>
      </c>
      <c r="K67" s="1" t="s">
        <v>90</v>
      </c>
      <c r="L67" s="1" t="s">
        <v>37</v>
      </c>
      <c r="M67" s="1" t="s">
        <v>38</v>
      </c>
      <c r="N67" s="1">
        <v>101</v>
      </c>
      <c r="O67" s="1">
        <v>101</v>
      </c>
      <c r="P67" s="1">
        <v>0.49999996800000002</v>
      </c>
      <c r="Q67" s="1" t="s">
        <v>91</v>
      </c>
      <c r="R67" s="1">
        <v>48</v>
      </c>
      <c r="S67" s="1">
        <v>5726124.4166999999</v>
      </c>
    </row>
    <row r="68" spans="1:19" ht="28" x14ac:dyDescent="0.15">
      <c r="A68" s="1" t="s">
        <v>32</v>
      </c>
      <c r="B68" s="1" t="s">
        <v>87</v>
      </c>
      <c r="C68" s="1">
        <v>6595</v>
      </c>
      <c r="D68" s="1">
        <v>4</v>
      </c>
      <c r="E68" s="1">
        <v>93290</v>
      </c>
      <c r="F68" s="2" t="s">
        <v>88</v>
      </c>
      <c r="G68" s="1" t="s">
        <v>98</v>
      </c>
      <c r="I68" s="1">
        <v>330</v>
      </c>
      <c r="J68" s="1" t="s">
        <v>35</v>
      </c>
      <c r="K68" s="1" t="s">
        <v>90</v>
      </c>
      <c r="L68" s="1" t="s">
        <v>37</v>
      </c>
      <c r="M68" s="1" t="s">
        <v>38</v>
      </c>
      <c r="N68" s="1">
        <v>101</v>
      </c>
      <c r="O68" s="1">
        <v>101</v>
      </c>
      <c r="P68" s="1">
        <v>1.0526315E-2</v>
      </c>
      <c r="Q68" s="1" t="s">
        <v>91</v>
      </c>
      <c r="R68" s="1">
        <v>1</v>
      </c>
      <c r="S68" s="1">
        <v>5857102</v>
      </c>
    </row>
    <row r="69" spans="1:19" ht="28" x14ac:dyDescent="0.15">
      <c r="A69" s="1" t="s">
        <v>32</v>
      </c>
      <c r="B69" s="1" t="s">
        <v>87</v>
      </c>
      <c r="C69" s="1">
        <v>6595</v>
      </c>
      <c r="D69" s="1">
        <v>4</v>
      </c>
      <c r="E69" s="1">
        <v>93290</v>
      </c>
      <c r="F69" s="2" t="s">
        <v>88</v>
      </c>
      <c r="G69" s="1" t="s">
        <v>99</v>
      </c>
      <c r="I69" s="1">
        <v>330</v>
      </c>
      <c r="J69" s="1" t="s">
        <v>35</v>
      </c>
      <c r="K69" s="1" t="s">
        <v>90</v>
      </c>
      <c r="L69" s="1" t="s">
        <v>37</v>
      </c>
      <c r="M69" s="1" t="s">
        <v>38</v>
      </c>
      <c r="N69" s="1">
        <v>101</v>
      </c>
      <c r="O69" s="1">
        <v>101</v>
      </c>
      <c r="P69" s="1">
        <v>0.52631574999999997</v>
      </c>
      <c r="Q69" s="1" t="s">
        <v>91</v>
      </c>
      <c r="R69" s="1">
        <v>50</v>
      </c>
      <c r="S69" s="1">
        <v>5901878.0800000001</v>
      </c>
    </row>
    <row r="70" spans="1:19" ht="28" x14ac:dyDescent="0.15">
      <c r="A70" s="1" t="s">
        <v>32</v>
      </c>
      <c r="B70" s="1" t="s">
        <v>87</v>
      </c>
      <c r="C70" s="1">
        <v>6595</v>
      </c>
      <c r="D70" s="1">
        <v>4</v>
      </c>
      <c r="E70" s="1">
        <v>93290</v>
      </c>
      <c r="F70" s="2" t="s">
        <v>88</v>
      </c>
      <c r="G70" s="1" t="s">
        <v>97</v>
      </c>
      <c r="I70" s="1">
        <v>330</v>
      </c>
      <c r="J70" s="1" t="s">
        <v>35</v>
      </c>
      <c r="K70" s="1" t="s">
        <v>90</v>
      </c>
      <c r="L70" s="1" t="s">
        <v>37</v>
      </c>
      <c r="M70" s="1" t="s">
        <v>38</v>
      </c>
      <c r="N70" s="1">
        <v>101</v>
      </c>
      <c r="O70" s="1">
        <v>101</v>
      </c>
      <c r="P70" s="1">
        <v>0.18947367000000001</v>
      </c>
      <c r="Q70" s="1" t="s">
        <v>91</v>
      </c>
      <c r="R70" s="1">
        <v>18</v>
      </c>
      <c r="S70" s="1">
        <v>6112907.0555999996</v>
      </c>
    </row>
    <row r="71" spans="1:19" ht="28" x14ac:dyDescent="0.15">
      <c r="A71" s="1" t="s">
        <v>32</v>
      </c>
      <c r="B71" s="1" t="s">
        <v>87</v>
      </c>
      <c r="C71" s="1">
        <v>6595</v>
      </c>
      <c r="D71" s="1">
        <v>4</v>
      </c>
      <c r="E71" s="1">
        <v>93290</v>
      </c>
      <c r="F71" s="2" t="s">
        <v>88</v>
      </c>
      <c r="G71" s="1" t="s">
        <v>100</v>
      </c>
      <c r="I71" s="1">
        <v>330</v>
      </c>
      <c r="J71" s="1" t="s">
        <v>35</v>
      </c>
      <c r="K71" s="1" t="s">
        <v>90</v>
      </c>
      <c r="L71" s="1" t="s">
        <v>37</v>
      </c>
      <c r="M71" s="1" t="s">
        <v>38</v>
      </c>
      <c r="N71" s="1">
        <v>101</v>
      </c>
      <c r="O71" s="1">
        <v>101</v>
      </c>
      <c r="P71" s="1">
        <v>0.27368418999999999</v>
      </c>
      <c r="Q71" s="1" t="s">
        <v>91</v>
      </c>
      <c r="R71" s="1">
        <v>26</v>
      </c>
      <c r="S71" s="1">
        <v>6311119.9615000002</v>
      </c>
    </row>
    <row r="72" spans="1:19" ht="28" x14ac:dyDescent="0.15">
      <c r="A72" s="1" t="s">
        <v>32</v>
      </c>
      <c r="B72" s="1" t="s">
        <v>87</v>
      </c>
      <c r="C72" s="1">
        <v>6595</v>
      </c>
      <c r="D72" s="1">
        <v>1</v>
      </c>
      <c r="E72" s="1">
        <v>93291</v>
      </c>
      <c r="F72" s="2" t="s">
        <v>88</v>
      </c>
      <c r="G72" s="1" t="s">
        <v>101</v>
      </c>
      <c r="I72" s="1">
        <v>330</v>
      </c>
      <c r="J72" s="1" t="s">
        <v>35</v>
      </c>
      <c r="K72" s="1" t="s">
        <v>90</v>
      </c>
      <c r="L72" s="1" t="s">
        <v>37</v>
      </c>
      <c r="M72" s="1" t="s">
        <v>38</v>
      </c>
      <c r="N72" s="1">
        <v>101</v>
      </c>
      <c r="O72" s="1">
        <v>101</v>
      </c>
      <c r="P72" s="1">
        <v>0.26041664999999897</v>
      </c>
      <c r="Q72" s="1" t="s">
        <v>91</v>
      </c>
      <c r="R72" s="1">
        <v>25</v>
      </c>
      <c r="S72" s="1">
        <v>5714114.1200000001</v>
      </c>
    </row>
    <row r="73" spans="1:19" ht="28" x14ac:dyDescent="0.15">
      <c r="A73" s="1" t="s">
        <v>32</v>
      </c>
      <c r="B73" s="1" t="s">
        <v>87</v>
      </c>
      <c r="C73" s="1">
        <v>6595</v>
      </c>
      <c r="D73" s="1">
        <v>1</v>
      </c>
      <c r="E73" s="1">
        <v>93291</v>
      </c>
      <c r="F73" s="2" t="s">
        <v>88</v>
      </c>
      <c r="G73" s="1" t="s">
        <v>102</v>
      </c>
      <c r="I73" s="1">
        <v>330</v>
      </c>
      <c r="J73" s="1" t="s">
        <v>35</v>
      </c>
      <c r="K73" s="1" t="s">
        <v>90</v>
      </c>
      <c r="L73" s="1" t="s">
        <v>37</v>
      </c>
      <c r="M73" s="1" t="s">
        <v>38</v>
      </c>
      <c r="N73" s="1">
        <v>101</v>
      </c>
      <c r="O73" s="1">
        <v>101</v>
      </c>
      <c r="P73" s="1">
        <v>0.20833331999999899</v>
      </c>
      <c r="Q73" s="1" t="s">
        <v>91</v>
      </c>
      <c r="R73" s="1">
        <v>20</v>
      </c>
      <c r="S73" s="1">
        <v>5733967.5499999998</v>
      </c>
    </row>
    <row r="74" spans="1:19" ht="28" x14ac:dyDescent="0.15">
      <c r="A74" s="1" t="s">
        <v>32</v>
      </c>
      <c r="B74" s="1" t="s">
        <v>87</v>
      </c>
      <c r="C74" s="1">
        <v>6595</v>
      </c>
      <c r="D74" s="1">
        <v>1</v>
      </c>
      <c r="E74" s="1">
        <v>93291</v>
      </c>
      <c r="F74" s="2" t="s">
        <v>88</v>
      </c>
      <c r="G74" s="1" t="s">
        <v>103</v>
      </c>
      <c r="I74" s="1">
        <v>330</v>
      </c>
      <c r="J74" s="1" t="s">
        <v>35</v>
      </c>
      <c r="K74" s="1" t="s">
        <v>90</v>
      </c>
      <c r="L74" s="1" t="s">
        <v>37</v>
      </c>
      <c r="M74" s="1" t="s">
        <v>38</v>
      </c>
      <c r="N74" s="1">
        <v>101</v>
      </c>
      <c r="O74" s="1">
        <v>101</v>
      </c>
      <c r="P74" s="1">
        <v>0.24999998399999901</v>
      </c>
      <c r="Q74" s="1" t="s">
        <v>91</v>
      </c>
      <c r="R74" s="1">
        <v>24</v>
      </c>
      <c r="S74" s="1">
        <v>5732132.1666999999</v>
      </c>
    </row>
    <row r="75" spans="1:19" ht="28" x14ac:dyDescent="0.15">
      <c r="A75" s="1" t="s">
        <v>32</v>
      </c>
      <c r="B75" s="1" t="s">
        <v>87</v>
      </c>
      <c r="C75" s="1">
        <v>6595</v>
      </c>
      <c r="D75" s="1">
        <v>1</v>
      </c>
      <c r="E75" s="1">
        <v>93291</v>
      </c>
      <c r="F75" s="2" t="s">
        <v>88</v>
      </c>
      <c r="G75" s="1" t="s">
        <v>104</v>
      </c>
      <c r="I75" s="1">
        <v>330</v>
      </c>
      <c r="J75" s="1" t="s">
        <v>35</v>
      </c>
      <c r="K75" s="1" t="s">
        <v>90</v>
      </c>
      <c r="L75" s="1" t="s">
        <v>37</v>
      </c>
      <c r="M75" s="1" t="s">
        <v>38</v>
      </c>
      <c r="N75" s="1">
        <v>101</v>
      </c>
      <c r="O75" s="1">
        <v>101</v>
      </c>
      <c r="P75" s="1">
        <v>0.28124998199999901</v>
      </c>
      <c r="Q75" s="1" t="s">
        <v>91</v>
      </c>
      <c r="R75" s="1">
        <v>27</v>
      </c>
      <c r="S75" s="1">
        <v>5825628.9630000005</v>
      </c>
    </row>
    <row r="76" spans="1:19" ht="28" x14ac:dyDescent="0.15">
      <c r="A76" s="1" t="s">
        <v>32</v>
      </c>
      <c r="B76" s="1" t="s">
        <v>87</v>
      </c>
      <c r="C76" s="1">
        <v>6595</v>
      </c>
      <c r="D76" s="1">
        <v>2</v>
      </c>
      <c r="E76" s="1">
        <v>93291</v>
      </c>
      <c r="F76" s="2" t="s">
        <v>88</v>
      </c>
      <c r="G76" s="1" t="s">
        <v>102</v>
      </c>
      <c r="I76" s="1">
        <v>330</v>
      </c>
      <c r="J76" s="1" t="s">
        <v>35</v>
      </c>
      <c r="K76" s="1" t="s">
        <v>90</v>
      </c>
      <c r="L76" s="1" t="s">
        <v>37</v>
      </c>
      <c r="M76" s="1" t="s">
        <v>38</v>
      </c>
      <c r="N76" s="1">
        <v>101</v>
      </c>
      <c r="O76" s="1">
        <v>101</v>
      </c>
      <c r="P76" s="1">
        <v>0.49999996800000002</v>
      </c>
      <c r="Q76" s="1" t="s">
        <v>91</v>
      </c>
      <c r="R76" s="1">
        <v>48</v>
      </c>
      <c r="S76" s="1">
        <v>5636783.0833000001</v>
      </c>
    </row>
    <row r="77" spans="1:19" ht="28" x14ac:dyDescent="0.15">
      <c r="A77" s="1" t="s">
        <v>32</v>
      </c>
      <c r="B77" s="1" t="s">
        <v>87</v>
      </c>
      <c r="C77" s="1">
        <v>6595</v>
      </c>
      <c r="D77" s="1">
        <v>2</v>
      </c>
      <c r="E77" s="1">
        <v>93291</v>
      </c>
      <c r="F77" s="2" t="s">
        <v>88</v>
      </c>
      <c r="G77" s="1" t="s">
        <v>104</v>
      </c>
      <c r="I77" s="1">
        <v>330</v>
      </c>
      <c r="J77" s="1" t="s">
        <v>35</v>
      </c>
      <c r="K77" s="1" t="s">
        <v>90</v>
      </c>
      <c r="L77" s="1" t="s">
        <v>37</v>
      </c>
      <c r="M77" s="1" t="s">
        <v>38</v>
      </c>
      <c r="N77" s="1">
        <v>101</v>
      </c>
      <c r="O77" s="1">
        <v>101</v>
      </c>
      <c r="P77" s="1">
        <v>0.39583330799999999</v>
      </c>
      <c r="Q77" s="1" t="s">
        <v>91</v>
      </c>
      <c r="R77" s="1">
        <v>38</v>
      </c>
      <c r="S77" s="1">
        <v>5656446.7895</v>
      </c>
    </row>
    <row r="78" spans="1:19" ht="28" x14ac:dyDescent="0.15">
      <c r="A78" s="1" t="s">
        <v>32</v>
      </c>
      <c r="B78" s="1" t="s">
        <v>87</v>
      </c>
      <c r="C78" s="1">
        <v>6595</v>
      </c>
      <c r="D78" s="1">
        <v>2</v>
      </c>
      <c r="E78" s="1">
        <v>93291</v>
      </c>
      <c r="F78" s="2" t="s">
        <v>88</v>
      </c>
      <c r="G78" s="1" t="s">
        <v>93</v>
      </c>
      <c r="I78" s="1">
        <v>330</v>
      </c>
      <c r="J78" s="1" t="s">
        <v>35</v>
      </c>
      <c r="K78" s="1" t="s">
        <v>90</v>
      </c>
      <c r="L78" s="1" t="s">
        <v>37</v>
      </c>
      <c r="M78" s="1" t="s">
        <v>38</v>
      </c>
      <c r="N78" s="1">
        <v>101</v>
      </c>
      <c r="O78" s="1">
        <v>101</v>
      </c>
      <c r="P78" s="1">
        <v>0.10416665999999999</v>
      </c>
      <c r="Q78" s="1" t="s">
        <v>91</v>
      </c>
      <c r="R78" s="1">
        <v>10</v>
      </c>
      <c r="S78" s="1">
        <v>6111780.2000000002</v>
      </c>
    </row>
    <row r="79" spans="1:19" ht="28" x14ac:dyDescent="0.15">
      <c r="A79" s="1" t="s">
        <v>32</v>
      </c>
      <c r="B79" s="1" t="s">
        <v>87</v>
      </c>
      <c r="C79" s="1">
        <v>6595</v>
      </c>
      <c r="D79" s="1">
        <v>3</v>
      </c>
      <c r="E79" s="1">
        <v>93291</v>
      </c>
      <c r="F79" s="2" t="s">
        <v>88</v>
      </c>
      <c r="G79" s="1" t="s">
        <v>102</v>
      </c>
      <c r="I79" s="1">
        <v>330</v>
      </c>
      <c r="J79" s="1" t="s">
        <v>35</v>
      </c>
      <c r="K79" s="1" t="s">
        <v>90</v>
      </c>
      <c r="L79" s="1" t="s">
        <v>37</v>
      </c>
      <c r="M79" s="1" t="s">
        <v>38</v>
      </c>
      <c r="N79" s="1">
        <v>101</v>
      </c>
      <c r="O79" s="1">
        <v>101</v>
      </c>
      <c r="P79" s="1">
        <v>6.2499995999999898E-2</v>
      </c>
      <c r="Q79" s="1" t="s">
        <v>91</v>
      </c>
      <c r="R79" s="1">
        <v>6</v>
      </c>
      <c r="S79" s="1">
        <v>5726516.1666999999</v>
      </c>
    </row>
    <row r="80" spans="1:19" ht="28" x14ac:dyDescent="0.15">
      <c r="A80" s="1" t="s">
        <v>32</v>
      </c>
      <c r="B80" s="1" t="s">
        <v>87</v>
      </c>
      <c r="C80" s="1">
        <v>6595</v>
      </c>
      <c r="D80" s="1">
        <v>3</v>
      </c>
      <c r="E80" s="1">
        <v>93291</v>
      </c>
      <c r="F80" s="2" t="s">
        <v>88</v>
      </c>
      <c r="G80" s="1" t="s">
        <v>89</v>
      </c>
      <c r="I80" s="1">
        <v>330</v>
      </c>
      <c r="J80" s="1" t="s">
        <v>35</v>
      </c>
      <c r="K80" s="1" t="s">
        <v>90</v>
      </c>
      <c r="L80" s="1" t="s">
        <v>37</v>
      </c>
      <c r="M80" s="1" t="s">
        <v>38</v>
      </c>
      <c r="N80" s="1">
        <v>101</v>
      </c>
      <c r="O80" s="1">
        <v>101</v>
      </c>
      <c r="P80" s="1">
        <v>0.41666663999999998</v>
      </c>
      <c r="Q80" s="1" t="s">
        <v>91</v>
      </c>
      <c r="R80" s="1">
        <v>40</v>
      </c>
      <c r="S80" s="1">
        <v>5991155.25</v>
      </c>
    </row>
    <row r="81" spans="1:19" ht="28" x14ac:dyDescent="0.15">
      <c r="A81" s="1" t="s">
        <v>32</v>
      </c>
      <c r="B81" s="1" t="s">
        <v>87</v>
      </c>
      <c r="C81" s="1">
        <v>6595</v>
      </c>
      <c r="D81" s="1">
        <v>3</v>
      </c>
      <c r="E81" s="1">
        <v>93291</v>
      </c>
      <c r="F81" s="2" t="s">
        <v>88</v>
      </c>
      <c r="G81" s="1" t="s">
        <v>93</v>
      </c>
      <c r="I81" s="1">
        <v>330</v>
      </c>
      <c r="J81" s="1" t="s">
        <v>35</v>
      </c>
      <c r="K81" s="1" t="s">
        <v>90</v>
      </c>
      <c r="L81" s="1" t="s">
        <v>37</v>
      </c>
      <c r="M81" s="1" t="s">
        <v>38</v>
      </c>
      <c r="N81" s="1">
        <v>101</v>
      </c>
      <c r="O81" s="1">
        <v>101</v>
      </c>
      <c r="P81" s="1">
        <v>0.52083330000000005</v>
      </c>
      <c r="Q81" s="1" t="s">
        <v>91</v>
      </c>
      <c r="R81" s="1">
        <v>50</v>
      </c>
      <c r="S81" s="1">
        <v>5595272.9800000004</v>
      </c>
    </row>
    <row r="82" spans="1:19" ht="28" x14ac:dyDescent="0.15">
      <c r="A82" s="1" t="s">
        <v>32</v>
      </c>
      <c r="B82" s="1" t="s">
        <v>87</v>
      </c>
      <c r="C82" s="1">
        <v>6595</v>
      </c>
      <c r="D82" s="1">
        <v>4</v>
      </c>
      <c r="E82" s="1">
        <v>93291</v>
      </c>
      <c r="F82" s="2" t="s">
        <v>88</v>
      </c>
      <c r="G82" s="1" t="s">
        <v>92</v>
      </c>
      <c r="I82" s="1">
        <v>330</v>
      </c>
      <c r="J82" s="1" t="s">
        <v>35</v>
      </c>
      <c r="K82" s="1" t="s">
        <v>90</v>
      </c>
      <c r="L82" s="1" t="s">
        <v>37</v>
      </c>
      <c r="M82" s="1" t="s">
        <v>38</v>
      </c>
      <c r="N82" s="1">
        <v>101</v>
      </c>
      <c r="O82" s="1">
        <v>101</v>
      </c>
      <c r="P82" s="1">
        <v>0.52083330000000005</v>
      </c>
      <c r="Q82" s="1" t="s">
        <v>91</v>
      </c>
      <c r="R82" s="1">
        <v>50</v>
      </c>
      <c r="S82" s="1">
        <v>5654858.9000000004</v>
      </c>
    </row>
    <row r="83" spans="1:19" ht="28" x14ac:dyDescent="0.15">
      <c r="A83" s="1" t="s">
        <v>32</v>
      </c>
      <c r="B83" s="1" t="s">
        <v>87</v>
      </c>
      <c r="C83" s="1">
        <v>6595</v>
      </c>
      <c r="D83" s="1">
        <v>4</v>
      </c>
      <c r="E83" s="1">
        <v>93291</v>
      </c>
      <c r="F83" s="2" t="s">
        <v>88</v>
      </c>
      <c r="G83" s="1" t="s">
        <v>94</v>
      </c>
      <c r="I83" s="1">
        <v>330</v>
      </c>
      <c r="J83" s="1" t="s">
        <v>35</v>
      </c>
      <c r="K83" s="1" t="s">
        <v>90</v>
      </c>
      <c r="L83" s="1" t="s">
        <v>37</v>
      </c>
      <c r="M83" s="1" t="s">
        <v>38</v>
      </c>
      <c r="N83" s="1">
        <v>101</v>
      </c>
      <c r="O83" s="1">
        <v>101</v>
      </c>
      <c r="P83" s="1">
        <v>0.24999998399999901</v>
      </c>
      <c r="Q83" s="1" t="s">
        <v>91</v>
      </c>
      <c r="R83" s="1">
        <v>24</v>
      </c>
      <c r="S83" s="1">
        <v>6112479.375</v>
      </c>
    </row>
    <row r="84" spans="1:19" ht="28" x14ac:dyDescent="0.15">
      <c r="A84" s="1" t="s">
        <v>32</v>
      </c>
      <c r="B84" s="1" t="s">
        <v>87</v>
      </c>
      <c r="C84" s="1">
        <v>6595</v>
      </c>
      <c r="D84" s="1">
        <v>4</v>
      </c>
      <c r="E84" s="1">
        <v>93291</v>
      </c>
      <c r="F84" s="2" t="s">
        <v>88</v>
      </c>
      <c r="G84" s="1" t="s">
        <v>96</v>
      </c>
      <c r="I84" s="1">
        <v>330</v>
      </c>
      <c r="J84" s="1" t="s">
        <v>35</v>
      </c>
      <c r="K84" s="1" t="s">
        <v>90</v>
      </c>
      <c r="L84" s="1" t="s">
        <v>37</v>
      </c>
      <c r="M84" s="1" t="s">
        <v>38</v>
      </c>
      <c r="N84" s="1">
        <v>101</v>
      </c>
      <c r="O84" s="1">
        <v>101</v>
      </c>
      <c r="P84" s="1">
        <v>0.229166651999999</v>
      </c>
      <c r="Q84" s="1" t="s">
        <v>91</v>
      </c>
      <c r="R84" s="1">
        <v>22</v>
      </c>
      <c r="S84" s="1">
        <v>5913966.5455</v>
      </c>
    </row>
    <row r="85" spans="1:19" ht="28" x14ac:dyDescent="0.15">
      <c r="A85" s="1" t="s">
        <v>32</v>
      </c>
      <c r="B85" s="1" t="s">
        <v>87</v>
      </c>
      <c r="C85" s="1">
        <v>6595</v>
      </c>
      <c r="D85" s="1">
        <v>1</v>
      </c>
      <c r="E85" s="1">
        <v>93352</v>
      </c>
      <c r="F85" s="2" t="s">
        <v>88</v>
      </c>
      <c r="G85" s="1" t="s">
        <v>105</v>
      </c>
      <c r="I85" s="1">
        <v>330</v>
      </c>
      <c r="J85" s="1" t="s">
        <v>35</v>
      </c>
      <c r="K85" s="1" t="s">
        <v>90</v>
      </c>
      <c r="L85" s="1" t="s">
        <v>37</v>
      </c>
      <c r="M85" s="1" t="s">
        <v>38</v>
      </c>
      <c r="N85" s="1">
        <v>101</v>
      </c>
      <c r="O85" s="1">
        <v>101</v>
      </c>
      <c r="P85" s="1">
        <v>0.33333331199999999</v>
      </c>
      <c r="Q85" s="1" t="s">
        <v>91</v>
      </c>
      <c r="R85" s="1">
        <v>32</v>
      </c>
      <c r="S85" s="1">
        <v>5624371.8125</v>
      </c>
    </row>
    <row r="86" spans="1:19" ht="28" x14ac:dyDescent="0.15">
      <c r="A86" s="1" t="s">
        <v>32</v>
      </c>
      <c r="B86" s="1" t="s">
        <v>87</v>
      </c>
      <c r="C86" s="1">
        <v>6595</v>
      </c>
      <c r="D86" s="1">
        <v>1</v>
      </c>
      <c r="E86" s="1">
        <v>93352</v>
      </c>
      <c r="F86" s="2" t="s">
        <v>88</v>
      </c>
      <c r="G86" s="1" t="s">
        <v>106</v>
      </c>
      <c r="I86" s="1">
        <v>330</v>
      </c>
      <c r="J86" s="1" t="s">
        <v>35</v>
      </c>
      <c r="K86" s="1" t="s">
        <v>90</v>
      </c>
      <c r="L86" s="1" t="s">
        <v>37</v>
      </c>
      <c r="M86" s="1" t="s">
        <v>38</v>
      </c>
      <c r="N86" s="1">
        <v>101</v>
      </c>
      <c r="O86" s="1">
        <v>101</v>
      </c>
      <c r="P86" s="1">
        <v>0.17708332199999999</v>
      </c>
      <c r="Q86" s="1" t="s">
        <v>91</v>
      </c>
      <c r="R86" s="1">
        <v>17</v>
      </c>
      <c r="S86" s="1">
        <v>5842586.4117999999</v>
      </c>
    </row>
    <row r="87" spans="1:19" ht="28" x14ac:dyDescent="0.15">
      <c r="A87" s="1" t="s">
        <v>32</v>
      </c>
      <c r="B87" s="1" t="s">
        <v>87</v>
      </c>
      <c r="C87" s="1">
        <v>6595</v>
      </c>
      <c r="D87" s="1">
        <v>1</v>
      </c>
      <c r="E87" s="1">
        <v>93352</v>
      </c>
      <c r="F87" s="2" t="s">
        <v>88</v>
      </c>
      <c r="G87" s="1" t="s">
        <v>107</v>
      </c>
      <c r="I87" s="1">
        <v>330</v>
      </c>
      <c r="J87" s="1" t="s">
        <v>35</v>
      </c>
      <c r="K87" s="1" t="s">
        <v>90</v>
      </c>
      <c r="L87" s="1" t="s">
        <v>37</v>
      </c>
      <c r="M87" s="1" t="s">
        <v>38</v>
      </c>
      <c r="N87" s="1">
        <v>101</v>
      </c>
      <c r="O87" s="1">
        <v>101</v>
      </c>
      <c r="P87" s="1">
        <v>0.43749997200000001</v>
      </c>
      <c r="Q87" s="1" t="s">
        <v>91</v>
      </c>
      <c r="R87" s="1">
        <v>42</v>
      </c>
      <c r="S87" s="1">
        <v>5745685.1666999999</v>
      </c>
    </row>
    <row r="88" spans="1:19" ht="28" x14ac:dyDescent="0.15">
      <c r="A88" s="1" t="s">
        <v>32</v>
      </c>
      <c r="B88" s="1" t="s">
        <v>87</v>
      </c>
      <c r="C88" s="1">
        <v>6595</v>
      </c>
      <c r="D88" s="1">
        <v>1</v>
      </c>
      <c r="E88" s="1">
        <v>93352</v>
      </c>
      <c r="F88" s="2" t="s">
        <v>88</v>
      </c>
      <c r="G88" s="1" t="s">
        <v>108</v>
      </c>
      <c r="I88" s="1">
        <v>330</v>
      </c>
      <c r="J88" s="1" t="s">
        <v>35</v>
      </c>
      <c r="K88" s="1" t="s">
        <v>90</v>
      </c>
      <c r="L88" s="1" t="s">
        <v>37</v>
      </c>
      <c r="M88" s="1" t="s">
        <v>38</v>
      </c>
      <c r="N88" s="1">
        <v>101</v>
      </c>
      <c r="O88" s="1">
        <v>101</v>
      </c>
      <c r="P88" s="1">
        <v>5.2083329999999997E-2</v>
      </c>
      <c r="Q88" s="1" t="s">
        <v>91</v>
      </c>
      <c r="R88" s="1">
        <v>5</v>
      </c>
      <c r="S88" s="1">
        <v>5168997.5999999996</v>
      </c>
    </row>
    <row r="89" spans="1:19" ht="28" x14ac:dyDescent="0.15">
      <c r="A89" s="1" t="s">
        <v>32</v>
      </c>
      <c r="B89" s="1" t="s">
        <v>87</v>
      </c>
      <c r="C89" s="1">
        <v>6595</v>
      </c>
      <c r="D89" s="1">
        <v>2</v>
      </c>
      <c r="E89" s="1">
        <v>93352</v>
      </c>
      <c r="F89" s="2" t="s">
        <v>88</v>
      </c>
      <c r="G89" s="1" t="s">
        <v>106</v>
      </c>
      <c r="I89" s="1">
        <v>330</v>
      </c>
      <c r="J89" s="1" t="s">
        <v>35</v>
      </c>
      <c r="K89" s="1" t="s">
        <v>90</v>
      </c>
      <c r="L89" s="1" t="s">
        <v>37</v>
      </c>
      <c r="M89" s="1" t="s">
        <v>38</v>
      </c>
      <c r="N89" s="1">
        <v>101</v>
      </c>
      <c r="O89" s="1">
        <v>101</v>
      </c>
      <c r="P89" s="1">
        <v>0.114583326</v>
      </c>
      <c r="Q89" s="1" t="s">
        <v>91</v>
      </c>
      <c r="R89" s="1">
        <v>11</v>
      </c>
      <c r="S89" s="1">
        <v>4876948.2726999996</v>
      </c>
    </row>
    <row r="90" spans="1:19" ht="28" x14ac:dyDescent="0.15">
      <c r="A90" s="1" t="s">
        <v>32</v>
      </c>
      <c r="B90" s="1" t="s">
        <v>87</v>
      </c>
      <c r="C90" s="1">
        <v>6595</v>
      </c>
      <c r="D90" s="1">
        <v>2</v>
      </c>
      <c r="E90" s="1">
        <v>93352</v>
      </c>
      <c r="F90" s="2" t="s">
        <v>88</v>
      </c>
      <c r="G90" s="1" t="s">
        <v>109</v>
      </c>
      <c r="I90" s="1">
        <v>330</v>
      </c>
      <c r="J90" s="1" t="s">
        <v>35</v>
      </c>
      <c r="K90" s="1" t="s">
        <v>90</v>
      </c>
      <c r="L90" s="1" t="s">
        <v>37</v>
      </c>
      <c r="M90" s="1" t="s">
        <v>38</v>
      </c>
      <c r="N90" s="1">
        <v>101</v>
      </c>
      <c r="O90" s="1">
        <v>101</v>
      </c>
      <c r="P90" s="1">
        <v>0.37499997600000001</v>
      </c>
      <c r="Q90" s="1" t="s">
        <v>91</v>
      </c>
      <c r="R90" s="1">
        <v>36</v>
      </c>
      <c r="S90" s="1">
        <v>5556186.25</v>
      </c>
    </row>
    <row r="91" spans="1:19" ht="28" x14ac:dyDescent="0.15">
      <c r="A91" s="1" t="s">
        <v>32</v>
      </c>
      <c r="B91" s="1" t="s">
        <v>87</v>
      </c>
      <c r="C91" s="1">
        <v>6595</v>
      </c>
      <c r="D91" s="1">
        <v>2</v>
      </c>
      <c r="E91" s="1">
        <v>93352</v>
      </c>
      <c r="F91" s="2" t="s">
        <v>88</v>
      </c>
      <c r="G91" s="1" t="s">
        <v>110</v>
      </c>
      <c r="I91" s="1">
        <v>330</v>
      </c>
      <c r="J91" s="1" t="s">
        <v>35</v>
      </c>
      <c r="K91" s="1" t="s">
        <v>90</v>
      </c>
      <c r="L91" s="1" t="s">
        <v>37</v>
      </c>
      <c r="M91" s="1" t="s">
        <v>38</v>
      </c>
      <c r="N91" s="1">
        <v>101</v>
      </c>
      <c r="O91" s="1">
        <v>101</v>
      </c>
      <c r="P91" s="1">
        <v>0.14583332399999999</v>
      </c>
      <c r="Q91" s="1" t="s">
        <v>91</v>
      </c>
      <c r="R91" s="1">
        <v>14</v>
      </c>
      <c r="S91" s="1">
        <v>5638048.3570999997</v>
      </c>
    </row>
    <row r="92" spans="1:19" ht="28" x14ac:dyDescent="0.15">
      <c r="A92" s="1" t="s">
        <v>32</v>
      </c>
      <c r="B92" s="1" t="s">
        <v>87</v>
      </c>
      <c r="C92" s="1">
        <v>6595</v>
      </c>
      <c r="D92" s="1">
        <v>2</v>
      </c>
      <c r="E92" s="1">
        <v>93352</v>
      </c>
      <c r="F92" s="2" t="s">
        <v>88</v>
      </c>
      <c r="G92" s="1" t="s">
        <v>111</v>
      </c>
      <c r="I92" s="1">
        <v>330</v>
      </c>
      <c r="J92" s="1" t="s">
        <v>35</v>
      </c>
      <c r="K92" s="1" t="s">
        <v>90</v>
      </c>
      <c r="L92" s="1" t="s">
        <v>37</v>
      </c>
      <c r="M92" s="1" t="s">
        <v>38</v>
      </c>
      <c r="N92" s="1">
        <v>101</v>
      </c>
      <c r="O92" s="1">
        <v>101</v>
      </c>
      <c r="P92" s="1">
        <v>0.36458330999999999</v>
      </c>
      <c r="Q92" s="1" t="s">
        <v>91</v>
      </c>
      <c r="R92" s="1">
        <v>35</v>
      </c>
      <c r="S92" s="1">
        <v>5938773.9143000003</v>
      </c>
    </row>
    <row r="93" spans="1:19" ht="28" x14ac:dyDescent="0.15">
      <c r="A93" s="1" t="s">
        <v>32</v>
      </c>
      <c r="B93" s="1" t="s">
        <v>87</v>
      </c>
      <c r="C93" s="1">
        <v>6595</v>
      </c>
      <c r="D93" s="1">
        <v>3</v>
      </c>
      <c r="E93" s="1">
        <v>93352</v>
      </c>
      <c r="F93" s="2" t="s">
        <v>88</v>
      </c>
      <c r="G93" s="1" t="s">
        <v>106</v>
      </c>
      <c r="I93" s="1">
        <v>330</v>
      </c>
      <c r="J93" s="1" t="s">
        <v>35</v>
      </c>
      <c r="K93" s="1" t="s">
        <v>90</v>
      </c>
      <c r="L93" s="1" t="s">
        <v>37</v>
      </c>
      <c r="M93" s="1" t="s">
        <v>38</v>
      </c>
      <c r="N93" s="1">
        <v>101</v>
      </c>
      <c r="O93" s="1">
        <v>101</v>
      </c>
      <c r="P93" s="1">
        <v>0.52083330000000005</v>
      </c>
      <c r="Q93" s="1" t="s">
        <v>91</v>
      </c>
      <c r="R93" s="1">
        <v>50</v>
      </c>
      <c r="S93" s="1">
        <v>5835743.7800000003</v>
      </c>
    </row>
    <row r="94" spans="1:19" ht="28" x14ac:dyDescent="0.15">
      <c r="A94" s="1" t="s">
        <v>32</v>
      </c>
      <c r="B94" s="1" t="s">
        <v>87</v>
      </c>
      <c r="C94" s="1">
        <v>6595</v>
      </c>
      <c r="D94" s="1">
        <v>3</v>
      </c>
      <c r="E94" s="1">
        <v>93352</v>
      </c>
      <c r="F94" s="2" t="s">
        <v>88</v>
      </c>
      <c r="G94" s="1" t="s">
        <v>108</v>
      </c>
      <c r="I94" s="1">
        <v>330</v>
      </c>
      <c r="J94" s="1" t="s">
        <v>35</v>
      </c>
      <c r="K94" s="1" t="s">
        <v>90</v>
      </c>
      <c r="L94" s="1" t="s">
        <v>37</v>
      </c>
      <c r="M94" s="1" t="s">
        <v>38</v>
      </c>
      <c r="N94" s="1">
        <v>101</v>
      </c>
      <c r="O94" s="1">
        <v>101</v>
      </c>
      <c r="P94" s="1">
        <v>0.29166664799999997</v>
      </c>
      <c r="Q94" s="1" t="s">
        <v>91</v>
      </c>
      <c r="R94" s="1">
        <v>28</v>
      </c>
      <c r="S94" s="1">
        <v>6338955.75</v>
      </c>
    </row>
    <row r="95" spans="1:19" ht="28" x14ac:dyDescent="0.15">
      <c r="A95" s="1" t="s">
        <v>32</v>
      </c>
      <c r="B95" s="1" t="s">
        <v>87</v>
      </c>
      <c r="C95" s="1">
        <v>6595</v>
      </c>
      <c r="D95" s="1">
        <v>3</v>
      </c>
      <c r="E95" s="1">
        <v>93352</v>
      </c>
      <c r="F95" s="2" t="s">
        <v>88</v>
      </c>
      <c r="G95" s="1" t="s">
        <v>110</v>
      </c>
      <c r="I95" s="1">
        <v>330</v>
      </c>
      <c r="J95" s="1" t="s">
        <v>35</v>
      </c>
      <c r="K95" s="1" t="s">
        <v>90</v>
      </c>
      <c r="L95" s="1" t="s">
        <v>37</v>
      </c>
      <c r="M95" s="1" t="s">
        <v>38</v>
      </c>
      <c r="N95" s="1">
        <v>101</v>
      </c>
      <c r="O95" s="1">
        <v>101</v>
      </c>
      <c r="P95" s="1">
        <v>0.18749998799999901</v>
      </c>
      <c r="Q95" s="1" t="s">
        <v>91</v>
      </c>
      <c r="R95" s="1">
        <v>18</v>
      </c>
      <c r="S95" s="1">
        <v>5652195.1666999999</v>
      </c>
    </row>
    <row r="96" spans="1:19" ht="28" x14ac:dyDescent="0.15">
      <c r="A96" s="1" t="s">
        <v>32</v>
      </c>
      <c r="B96" s="1" t="s">
        <v>112</v>
      </c>
      <c r="C96" s="1">
        <v>6595</v>
      </c>
      <c r="D96" s="1">
        <v>4</v>
      </c>
      <c r="E96" s="1">
        <v>93352</v>
      </c>
      <c r="F96" s="2" t="s">
        <v>88</v>
      </c>
      <c r="G96" s="1" t="s">
        <v>113</v>
      </c>
      <c r="I96" s="1">
        <v>330</v>
      </c>
      <c r="J96" s="1" t="s">
        <v>35</v>
      </c>
      <c r="K96" s="1" t="s">
        <v>90</v>
      </c>
      <c r="L96" s="1" t="s">
        <v>37</v>
      </c>
      <c r="M96" s="1" t="s">
        <v>38</v>
      </c>
      <c r="N96" s="1">
        <v>101</v>
      </c>
      <c r="O96" s="1">
        <v>101</v>
      </c>
      <c r="P96" s="1">
        <v>0.28124998199999901</v>
      </c>
      <c r="Q96" s="1" t="s">
        <v>91</v>
      </c>
      <c r="R96" s="1">
        <v>27</v>
      </c>
      <c r="S96" s="1">
        <v>5836327.9630000005</v>
      </c>
    </row>
    <row r="97" spans="1:19" ht="28" x14ac:dyDescent="0.15">
      <c r="A97" s="1" t="s">
        <v>32</v>
      </c>
      <c r="B97" s="1" t="s">
        <v>112</v>
      </c>
      <c r="C97" s="1">
        <v>6595</v>
      </c>
      <c r="D97" s="1">
        <v>4</v>
      </c>
      <c r="E97" s="1">
        <v>93352</v>
      </c>
      <c r="F97" s="2" t="s">
        <v>88</v>
      </c>
      <c r="G97" s="1" t="s">
        <v>114</v>
      </c>
      <c r="I97" s="1">
        <v>330</v>
      </c>
      <c r="J97" s="1" t="s">
        <v>35</v>
      </c>
      <c r="K97" s="1" t="s">
        <v>90</v>
      </c>
      <c r="L97" s="1" t="s">
        <v>37</v>
      </c>
      <c r="M97" s="1" t="s">
        <v>38</v>
      </c>
      <c r="N97" s="1">
        <v>101</v>
      </c>
      <c r="O97" s="1">
        <v>101</v>
      </c>
      <c r="P97" s="1">
        <v>0.18749998799999901</v>
      </c>
      <c r="Q97" s="1" t="s">
        <v>91</v>
      </c>
      <c r="R97" s="1">
        <v>18</v>
      </c>
      <c r="S97" s="1">
        <v>6013989.5</v>
      </c>
    </row>
    <row r="98" spans="1:19" ht="28" x14ac:dyDescent="0.15">
      <c r="A98" s="1" t="s">
        <v>32</v>
      </c>
      <c r="B98" s="1" t="s">
        <v>112</v>
      </c>
      <c r="C98" s="1">
        <v>6595</v>
      </c>
      <c r="D98" s="1">
        <v>4</v>
      </c>
      <c r="E98" s="1">
        <v>93352</v>
      </c>
      <c r="F98" s="2" t="s">
        <v>88</v>
      </c>
      <c r="G98" s="1" t="s">
        <v>115</v>
      </c>
      <c r="I98" s="1">
        <v>330</v>
      </c>
      <c r="J98" s="1" t="s">
        <v>35</v>
      </c>
      <c r="K98" s="1" t="s">
        <v>90</v>
      </c>
      <c r="L98" s="1" t="s">
        <v>37</v>
      </c>
      <c r="M98" s="1" t="s">
        <v>38</v>
      </c>
      <c r="N98" s="1">
        <v>101</v>
      </c>
      <c r="O98" s="1">
        <v>101</v>
      </c>
      <c r="P98" s="1">
        <v>0.29166664799999997</v>
      </c>
      <c r="Q98" s="1" t="s">
        <v>91</v>
      </c>
      <c r="R98" s="1">
        <v>28</v>
      </c>
      <c r="S98" s="1">
        <v>5829317.6786000002</v>
      </c>
    </row>
    <row r="99" spans="1:19" ht="28" x14ac:dyDescent="0.15">
      <c r="A99" s="1" t="s">
        <v>32</v>
      </c>
      <c r="B99" s="1" t="s">
        <v>112</v>
      </c>
      <c r="C99" s="1">
        <v>6595</v>
      </c>
      <c r="D99" s="1">
        <v>4</v>
      </c>
      <c r="E99" s="1">
        <v>93352</v>
      </c>
      <c r="F99" s="2" t="s">
        <v>88</v>
      </c>
      <c r="G99" s="1" t="s">
        <v>116</v>
      </c>
      <c r="I99" s="1">
        <v>330</v>
      </c>
      <c r="J99" s="1" t="s">
        <v>35</v>
      </c>
      <c r="K99" s="1" t="s">
        <v>90</v>
      </c>
      <c r="L99" s="1" t="s">
        <v>37</v>
      </c>
      <c r="M99" s="1" t="s">
        <v>38</v>
      </c>
      <c r="N99" s="1">
        <v>101</v>
      </c>
      <c r="O99" s="1">
        <v>101</v>
      </c>
      <c r="P99" s="1">
        <v>0.23958331799999899</v>
      </c>
      <c r="Q99" s="1" t="s">
        <v>91</v>
      </c>
      <c r="R99" s="1">
        <v>23</v>
      </c>
      <c r="S99" s="1">
        <v>5884306.6522000004</v>
      </c>
    </row>
    <row r="100" spans="1:19" ht="14" x14ac:dyDescent="0.15">
      <c r="A100" s="1" t="s">
        <v>117</v>
      </c>
      <c r="B100" s="1" t="s">
        <v>33</v>
      </c>
      <c r="C100" s="1">
        <v>2984</v>
      </c>
      <c r="D100" s="1">
        <v>1</v>
      </c>
      <c r="E100" s="1">
        <v>93010</v>
      </c>
      <c r="F100" s="2" t="s">
        <v>118</v>
      </c>
      <c r="H100" s="1" t="s">
        <v>119</v>
      </c>
      <c r="P100" s="1">
        <v>0.99999999900000003</v>
      </c>
      <c r="Q100" s="1" t="s">
        <v>39</v>
      </c>
      <c r="R100" s="1">
        <v>37</v>
      </c>
      <c r="S100" s="1">
        <v>126135.2162</v>
      </c>
    </row>
    <row r="101" spans="1:19" ht="14" x14ac:dyDescent="0.15">
      <c r="A101" s="1" t="s">
        <v>117</v>
      </c>
      <c r="B101" s="1" t="s">
        <v>33</v>
      </c>
      <c r="C101" s="1">
        <v>2984</v>
      </c>
      <c r="D101" s="1">
        <v>1</v>
      </c>
      <c r="E101" s="1">
        <v>93080</v>
      </c>
      <c r="F101" s="2" t="s">
        <v>118</v>
      </c>
      <c r="H101" s="1" t="s">
        <v>119</v>
      </c>
      <c r="P101" s="1">
        <v>0.99999998700000003</v>
      </c>
      <c r="Q101" s="1" t="s">
        <v>39</v>
      </c>
      <c r="R101" s="1">
        <v>49</v>
      </c>
      <c r="S101" s="1">
        <v>98693.367299999998</v>
      </c>
    </row>
    <row r="102" spans="1:19" ht="14" x14ac:dyDescent="0.15">
      <c r="A102" s="1" t="s">
        <v>32</v>
      </c>
      <c r="B102" s="1" t="s">
        <v>33</v>
      </c>
      <c r="C102" s="1">
        <v>2984</v>
      </c>
      <c r="D102" s="1">
        <v>4</v>
      </c>
      <c r="E102" s="1">
        <v>93296</v>
      </c>
      <c r="F102" s="2" t="s">
        <v>118</v>
      </c>
      <c r="I102" s="1">
        <v>338</v>
      </c>
      <c r="J102" s="1" t="s">
        <v>35</v>
      </c>
      <c r="K102" s="1" t="s">
        <v>36</v>
      </c>
      <c r="L102" s="1" t="s">
        <v>37</v>
      </c>
      <c r="M102" s="1" t="s">
        <v>38</v>
      </c>
      <c r="N102" s="1">
        <v>151</v>
      </c>
      <c r="O102" s="1">
        <v>151</v>
      </c>
      <c r="P102" s="1">
        <v>0.84482757100000005</v>
      </c>
      <c r="Q102" s="1" t="s">
        <v>39</v>
      </c>
      <c r="R102" s="1">
        <v>49</v>
      </c>
      <c r="S102" s="1">
        <v>10942318.020400001</v>
      </c>
    </row>
    <row r="103" spans="1:19" ht="42" x14ac:dyDescent="0.15">
      <c r="A103" s="1" t="s">
        <v>32</v>
      </c>
      <c r="B103" s="1" t="s">
        <v>120</v>
      </c>
      <c r="C103" s="1">
        <v>6778</v>
      </c>
      <c r="D103" s="1">
        <v>1</v>
      </c>
      <c r="E103" s="1">
        <v>93242</v>
      </c>
      <c r="F103" s="2" t="s">
        <v>121</v>
      </c>
      <c r="G103" s="1" t="s">
        <v>122</v>
      </c>
      <c r="I103" s="1">
        <v>338</v>
      </c>
      <c r="J103" s="1" t="s">
        <v>35</v>
      </c>
      <c r="K103" s="1" t="s">
        <v>36</v>
      </c>
      <c r="L103" s="1" t="s">
        <v>123</v>
      </c>
      <c r="M103" s="1" t="s">
        <v>38</v>
      </c>
      <c r="N103" s="1">
        <v>151</v>
      </c>
      <c r="O103" s="1">
        <v>151</v>
      </c>
      <c r="P103" s="1">
        <v>8.5106379999999995E-2</v>
      </c>
      <c r="Q103" s="1" t="s">
        <v>91</v>
      </c>
      <c r="R103" s="1">
        <v>4</v>
      </c>
    </row>
    <row r="104" spans="1:19" ht="42" x14ac:dyDescent="0.15">
      <c r="A104" s="1" t="s">
        <v>32</v>
      </c>
      <c r="B104" s="1" t="s">
        <v>120</v>
      </c>
      <c r="C104" s="1">
        <v>6778</v>
      </c>
      <c r="D104" s="1">
        <v>1</v>
      </c>
      <c r="E104" s="1">
        <v>93242</v>
      </c>
      <c r="F104" s="2" t="s">
        <v>121</v>
      </c>
      <c r="G104" s="1" t="s">
        <v>124</v>
      </c>
      <c r="I104" s="1">
        <v>338</v>
      </c>
      <c r="J104" s="1" t="s">
        <v>35</v>
      </c>
      <c r="K104" s="1" t="s">
        <v>36</v>
      </c>
      <c r="L104" s="1" t="s">
        <v>123</v>
      </c>
      <c r="M104" s="1" t="s">
        <v>38</v>
      </c>
      <c r="N104" s="1">
        <v>151</v>
      </c>
      <c r="O104" s="1">
        <v>151</v>
      </c>
      <c r="P104" s="1">
        <v>0.21276595000000001</v>
      </c>
      <c r="Q104" s="1" t="s">
        <v>91</v>
      </c>
      <c r="R104" s="1">
        <v>10</v>
      </c>
    </row>
    <row r="105" spans="1:19" ht="42" x14ac:dyDescent="0.15">
      <c r="A105" s="1" t="s">
        <v>32</v>
      </c>
      <c r="B105" s="1" t="s">
        <v>120</v>
      </c>
      <c r="C105" s="1">
        <v>6778</v>
      </c>
      <c r="D105" s="1">
        <v>1</v>
      </c>
      <c r="E105" s="1">
        <v>93242</v>
      </c>
      <c r="F105" s="2" t="s">
        <v>121</v>
      </c>
      <c r="G105" s="1" t="s">
        <v>125</v>
      </c>
      <c r="I105" s="1">
        <v>338</v>
      </c>
      <c r="J105" s="1" t="s">
        <v>35</v>
      </c>
      <c r="K105" s="1" t="s">
        <v>36</v>
      </c>
      <c r="L105" s="1" t="s">
        <v>123</v>
      </c>
      <c r="M105" s="1" t="s">
        <v>38</v>
      </c>
      <c r="N105" s="1">
        <v>151</v>
      </c>
      <c r="O105" s="1">
        <v>151</v>
      </c>
      <c r="P105" s="1">
        <v>0.14893616500000001</v>
      </c>
      <c r="Q105" s="1" t="s">
        <v>91</v>
      </c>
      <c r="R105" s="1">
        <v>7</v>
      </c>
    </row>
    <row r="106" spans="1:19" ht="42" x14ac:dyDescent="0.15">
      <c r="A106" s="1" t="s">
        <v>32</v>
      </c>
      <c r="B106" s="1" t="s">
        <v>120</v>
      </c>
      <c r="C106" s="1">
        <v>6778</v>
      </c>
      <c r="D106" s="1">
        <v>1</v>
      </c>
      <c r="E106" s="1">
        <v>93242</v>
      </c>
      <c r="F106" s="2" t="s">
        <v>121</v>
      </c>
      <c r="G106" s="1" t="s">
        <v>126</v>
      </c>
      <c r="I106" s="1">
        <v>338</v>
      </c>
      <c r="J106" s="1" t="s">
        <v>35</v>
      </c>
      <c r="K106" s="1" t="s">
        <v>36</v>
      </c>
      <c r="L106" s="1" t="s">
        <v>123</v>
      </c>
      <c r="M106" s="1" t="s">
        <v>38</v>
      </c>
      <c r="N106" s="1">
        <v>151</v>
      </c>
      <c r="O106" s="1">
        <v>151</v>
      </c>
      <c r="P106" s="1">
        <v>8.5106379999999995E-2</v>
      </c>
      <c r="Q106" s="1" t="s">
        <v>91</v>
      </c>
      <c r="R106" s="1">
        <v>4</v>
      </c>
    </row>
    <row r="107" spans="1:19" ht="42" x14ac:dyDescent="0.15">
      <c r="A107" s="1" t="s">
        <v>32</v>
      </c>
      <c r="B107" s="1" t="s">
        <v>120</v>
      </c>
      <c r="C107" s="1">
        <v>6778</v>
      </c>
      <c r="D107" s="1">
        <v>1</v>
      </c>
      <c r="E107" s="1">
        <v>93242</v>
      </c>
      <c r="F107" s="2" t="s">
        <v>121</v>
      </c>
      <c r="G107" s="1" t="s">
        <v>127</v>
      </c>
      <c r="I107" s="1">
        <v>338</v>
      </c>
      <c r="J107" s="1" t="s">
        <v>35</v>
      </c>
      <c r="K107" s="1" t="s">
        <v>36</v>
      </c>
      <c r="L107" s="1" t="s">
        <v>123</v>
      </c>
      <c r="M107" s="1" t="s">
        <v>38</v>
      </c>
      <c r="N107" s="1">
        <v>151</v>
      </c>
      <c r="O107" s="1">
        <v>151</v>
      </c>
      <c r="P107" s="1">
        <v>0.46808508999999998</v>
      </c>
      <c r="Q107" s="1" t="s">
        <v>91</v>
      </c>
      <c r="R107" s="1">
        <v>22</v>
      </c>
    </row>
    <row r="108" spans="1:19" ht="42" x14ac:dyDescent="0.15">
      <c r="A108" s="1" t="s">
        <v>32</v>
      </c>
      <c r="B108" s="1" t="s">
        <v>120</v>
      </c>
      <c r="C108" s="1">
        <v>6778</v>
      </c>
      <c r="D108" s="1">
        <v>2</v>
      </c>
      <c r="E108" s="1">
        <v>93242</v>
      </c>
      <c r="F108" s="2" t="s">
        <v>121</v>
      </c>
      <c r="G108" s="1" t="s">
        <v>122</v>
      </c>
      <c r="I108" s="1">
        <v>338</v>
      </c>
      <c r="J108" s="1" t="s">
        <v>35</v>
      </c>
      <c r="K108" s="1" t="s">
        <v>36</v>
      </c>
      <c r="L108" s="1" t="s">
        <v>123</v>
      </c>
      <c r="M108" s="1" t="s">
        <v>38</v>
      </c>
      <c r="N108" s="1">
        <v>151</v>
      </c>
      <c r="O108" s="1">
        <v>151</v>
      </c>
      <c r="P108" s="1">
        <v>8.5106379999999995E-2</v>
      </c>
      <c r="Q108" s="1" t="s">
        <v>91</v>
      </c>
      <c r="R108" s="1">
        <v>4</v>
      </c>
    </row>
    <row r="109" spans="1:19" ht="42" x14ac:dyDescent="0.15">
      <c r="A109" s="1" t="s">
        <v>32</v>
      </c>
      <c r="B109" s="1" t="s">
        <v>120</v>
      </c>
      <c r="C109" s="1">
        <v>6778</v>
      </c>
      <c r="D109" s="1">
        <v>2</v>
      </c>
      <c r="E109" s="1">
        <v>93242</v>
      </c>
      <c r="F109" s="2" t="s">
        <v>121</v>
      </c>
      <c r="G109" s="1" t="s">
        <v>124</v>
      </c>
      <c r="I109" s="1">
        <v>338</v>
      </c>
      <c r="J109" s="1" t="s">
        <v>35</v>
      </c>
      <c r="K109" s="1" t="s">
        <v>36</v>
      </c>
      <c r="L109" s="1" t="s">
        <v>123</v>
      </c>
      <c r="M109" s="1" t="s">
        <v>38</v>
      </c>
      <c r="N109" s="1">
        <v>151</v>
      </c>
      <c r="O109" s="1">
        <v>151</v>
      </c>
      <c r="P109" s="1">
        <v>0.21276595000000001</v>
      </c>
      <c r="Q109" s="1" t="s">
        <v>91</v>
      </c>
      <c r="R109" s="1">
        <v>10</v>
      </c>
    </row>
    <row r="110" spans="1:19" ht="42" x14ac:dyDescent="0.15">
      <c r="A110" s="1" t="s">
        <v>32</v>
      </c>
      <c r="B110" s="1" t="s">
        <v>120</v>
      </c>
      <c r="C110" s="1">
        <v>6778</v>
      </c>
      <c r="D110" s="1">
        <v>2</v>
      </c>
      <c r="E110" s="1">
        <v>93242</v>
      </c>
      <c r="F110" s="2" t="s">
        <v>121</v>
      </c>
      <c r="G110" s="1" t="s">
        <v>125</v>
      </c>
      <c r="I110" s="1">
        <v>338</v>
      </c>
      <c r="J110" s="1" t="s">
        <v>35</v>
      </c>
      <c r="K110" s="1" t="s">
        <v>36</v>
      </c>
      <c r="L110" s="1" t="s">
        <v>123</v>
      </c>
      <c r="M110" s="1" t="s">
        <v>38</v>
      </c>
      <c r="N110" s="1">
        <v>151</v>
      </c>
      <c r="O110" s="1">
        <v>151</v>
      </c>
      <c r="P110" s="1">
        <v>0.14893616500000001</v>
      </c>
      <c r="Q110" s="1" t="s">
        <v>91</v>
      </c>
      <c r="R110" s="1">
        <v>7</v>
      </c>
    </row>
    <row r="111" spans="1:19" ht="42" x14ac:dyDescent="0.15">
      <c r="A111" s="1" t="s">
        <v>32</v>
      </c>
      <c r="B111" s="1" t="s">
        <v>120</v>
      </c>
      <c r="C111" s="1">
        <v>6778</v>
      </c>
      <c r="D111" s="1">
        <v>2</v>
      </c>
      <c r="E111" s="1">
        <v>93242</v>
      </c>
      <c r="F111" s="2" t="s">
        <v>121</v>
      </c>
      <c r="G111" s="1" t="s">
        <v>126</v>
      </c>
      <c r="I111" s="1">
        <v>338</v>
      </c>
      <c r="J111" s="1" t="s">
        <v>35</v>
      </c>
      <c r="K111" s="1" t="s">
        <v>36</v>
      </c>
      <c r="L111" s="1" t="s">
        <v>123</v>
      </c>
      <c r="M111" s="1" t="s">
        <v>38</v>
      </c>
      <c r="N111" s="1">
        <v>151</v>
      </c>
      <c r="O111" s="1">
        <v>151</v>
      </c>
      <c r="P111" s="1">
        <v>8.5106379999999995E-2</v>
      </c>
      <c r="Q111" s="1" t="s">
        <v>91</v>
      </c>
      <c r="R111" s="1">
        <v>4</v>
      </c>
    </row>
    <row r="112" spans="1:19" ht="42" x14ac:dyDescent="0.15">
      <c r="A112" s="1" t="s">
        <v>32</v>
      </c>
      <c r="B112" s="1" t="s">
        <v>120</v>
      </c>
      <c r="C112" s="1">
        <v>6778</v>
      </c>
      <c r="D112" s="1">
        <v>2</v>
      </c>
      <c r="E112" s="1">
        <v>93242</v>
      </c>
      <c r="F112" s="2" t="s">
        <v>121</v>
      </c>
      <c r="G112" s="1" t="s">
        <v>127</v>
      </c>
      <c r="I112" s="1">
        <v>338</v>
      </c>
      <c r="J112" s="1" t="s">
        <v>35</v>
      </c>
      <c r="K112" s="1" t="s">
        <v>36</v>
      </c>
      <c r="L112" s="1" t="s">
        <v>123</v>
      </c>
      <c r="M112" s="1" t="s">
        <v>38</v>
      </c>
      <c r="N112" s="1">
        <v>151</v>
      </c>
      <c r="O112" s="1">
        <v>151</v>
      </c>
      <c r="P112" s="1">
        <v>0.46808508999999998</v>
      </c>
      <c r="Q112" s="1" t="s">
        <v>91</v>
      </c>
      <c r="R112" s="1">
        <v>22</v>
      </c>
    </row>
    <row r="113" spans="1:19" ht="42" x14ac:dyDescent="0.15">
      <c r="A113" s="1" t="s">
        <v>32</v>
      </c>
      <c r="B113" s="1" t="s">
        <v>120</v>
      </c>
      <c r="C113" s="1">
        <v>6778</v>
      </c>
      <c r="D113" s="1">
        <v>3</v>
      </c>
      <c r="E113" s="1">
        <v>93242</v>
      </c>
      <c r="F113" s="2" t="s">
        <v>121</v>
      </c>
      <c r="G113" s="1" t="s">
        <v>122</v>
      </c>
      <c r="I113" s="1">
        <v>338</v>
      </c>
      <c r="J113" s="1" t="s">
        <v>35</v>
      </c>
      <c r="K113" s="1" t="s">
        <v>36</v>
      </c>
      <c r="L113" s="1" t="s">
        <v>123</v>
      </c>
      <c r="M113" s="1" t="s">
        <v>38</v>
      </c>
      <c r="N113" s="1">
        <v>151</v>
      </c>
      <c r="O113" s="1">
        <v>151</v>
      </c>
      <c r="P113" s="1">
        <v>8.5106379999999995E-2</v>
      </c>
      <c r="Q113" s="1" t="s">
        <v>91</v>
      </c>
      <c r="R113" s="1">
        <v>4</v>
      </c>
    </row>
    <row r="114" spans="1:19" ht="42" x14ac:dyDescent="0.15">
      <c r="A114" s="1" t="s">
        <v>32</v>
      </c>
      <c r="B114" s="1" t="s">
        <v>120</v>
      </c>
      <c r="C114" s="1">
        <v>6778</v>
      </c>
      <c r="D114" s="1">
        <v>3</v>
      </c>
      <c r="E114" s="1">
        <v>93242</v>
      </c>
      <c r="F114" s="2" t="s">
        <v>121</v>
      </c>
      <c r="G114" s="1" t="s">
        <v>124</v>
      </c>
      <c r="I114" s="1">
        <v>338</v>
      </c>
      <c r="J114" s="1" t="s">
        <v>35</v>
      </c>
      <c r="K114" s="1" t="s">
        <v>36</v>
      </c>
      <c r="L114" s="1" t="s">
        <v>123</v>
      </c>
      <c r="M114" s="1" t="s">
        <v>38</v>
      </c>
      <c r="N114" s="1">
        <v>151</v>
      </c>
      <c r="O114" s="1">
        <v>151</v>
      </c>
      <c r="P114" s="1">
        <v>0.21276595000000001</v>
      </c>
      <c r="Q114" s="1" t="s">
        <v>91</v>
      </c>
      <c r="R114" s="1">
        <v>10</v>
      </c>
    </row>
    <row r="115" spans="1:19" ht="42" x14ac:dyDescent="0.15">
      <c r="A115" s="1" t="s">
        <v>32</v>
      </c>
      <c r="B115" s="1" t="s">
        <v>120</v>
      </c>
      <c r="C115" s="1">
        <v>6778</v>
      </c>
      <c r="D115" s="1">
        <v>3</v>
      </c>
      <c r="E115" s="1">
        <v>93242</v>
      </c>
      <c r="F115" s="2" t="s">
        <v>121</v>
      </c>
      <c r="G115" s="1" t="s">
        <v>125</v>
      </c>
      <c r="I115" s="1">
        <v>338</v>
      </c>
      <c r="J115" s="1" t="s">
        <v>35</v>
      </c>
      <c r="K115" s="1" t="s">
        <v>36</v>
      </c>
      <c r="L115" s="1" t="s">
        <v>123</v>
      </c>
      <c r="M115" s="1" t="s">
        <v>38</v>
      </c>
      <c r="N115" s="1">
        <v>151</v>
      </c>
      <c r="O115" s="1">
        <v>151</v>
      </c>
      <c r="P115" s="1">
        <v>0.14893616500000001</v>
      </c>
      <c r="Q115" s="1" t="s">
        <v>91</v>
      </c>
      <c r="R115" s="1">
        <v>7</v>
      </c>
    </row>
    <row r="116" spans="1:19" ht="42" x14ac:dyDescent="0.15">
      <c r="A116" s="1" t="s">
        <v>32</v>
      </c>
      <c r="B116" s="1" t="s">
        <v>120</v>
      </c>
      <c r="C116" s="1">
        <v>6778</v>
      </c>
      <c r="D116" s="1">
        <v>3</v>
      </c>
      <c r="E116" s="1">
        <v>93242</v>
      </c>
      <c r="F116" s="2" t="s">
        <v>121</v>
      </c>
      <c r="G116" s="1" t="s">
        <v>126</v>
      </c>
      <c r="I116" s="1">
        <v>338</v>
      </c>
      <c r="J116" s="1" t="s">
        <v>35</v>
      </c>
      <c r="K116" s="1" t="s">
        <v>36</v>
      </c>
      <c r="L116" s="1" t="s">
        <v>123</v>
      </c>
      <c r="M116" s="1" t="s">
        <v>38</v>
      </c>
      <c r="N116" s="1">
        <v>151</v>
      </c>
      <c r="O116" s="1">
        <v>151</v>
      </c>
      <c r="P116" s="1">
        <v>8.5106379999999995E-2</v>
      </c>
      <c r="Q116" s="1" t="s">
        <v>91</v>
      </c>
      <c r="R116" s="1">
        <v>4</v>
      </c>
    </row>
    <row r="117" spans="1:19" ht="42" x14ac:dyDescent="0.15">
      <c r="A117" s="1" t="s">
        <v>32</v>
      </c>
      <c r="B117" s="1" t="s">
        <v>120</v>
      </c>
      <c r="C117" s="1">
        <v>6778</v>
      </c>
      <c r="D117" s="1">
        <v>3</v>
      </c>
      <c r="E117" s="1">
        <v>93242</v>
      </c>
      <c r="F117" s="2" t="s">
        <v>121</v>
      </c>
      <c r="G117" s="1" t="s">
        <v>127</v>
      </c>
      <c r="I117" s="1">
        <v>338</v>
      </c>
      <c r="J117" s="1" t="s">
        <v>35</v>
      </c>
      <c r="K117" s="1" t="s">
        <v>36</v>
      </c>
      <c r="L117" s="1" t="s">
        <v>123</v>
      </c>
      <c r="M117" s="1" t="s">
        <v>38</v>
      </c>
      <c r="N117" s="1">
        <v>151</v>
      </c>
      <c r="O117" s="1">
        <v>151</v>
      </c>
      <c r="P117" s="1">
        <v>0.46808508999999998</v>
      </c>
      <c r="Q117" s="1" t="s">
        <v>91</v>
      </c>
      <c r="R117" s="1">
        <v>22</v>
      </c>
    </row>
    <row r="118" spans="1:19" ht="42" x14ac:dyDescent="0.15">
      <c r="A118" s="1" t="s">
        <v>32</v>
      </c>
      <c r="B118" s="1" t="s">
        <v>120</v>
      </c>
      <c r="C118" s="1">
        <v>6778</v>
      </c>
      <c r="D118" s="1">
        <v>4</v>
      </c>
      <c r="E118" s="1">
        <v>93242</v>
      </c>
      <c r="F118" s="2" t="s">
        <v>121</v>
      </c>
      <c r="G118" s="1" t="s">
        <v>122</v>
      </c>
      <c r="I118" s="1">
        <v>338</v>
      </c>
      <c r="J118" s="1" t="s">
        <v>35</v>
      </c>
      <c r="K118" s="1" t="s">
        <v>36</v>
      </c>
      <c r="L118" s="1" t="s">
        <v>123</v>
      </c>
      <c r="M118" s="1" t="s">
        <v>38</v>
      </c>
      <c r="N118" s="1">
        <v>151</v>
      </c>
      <c r="O118" s="1">
        <v>151</v>
      </c>
      <c r="P118" s="1">
        <v>8.5106379999999995E-2</v>
      </c>
      <c r="Q118" s="1" t="s">
        <v>91</v>
      </c>
      <c r="R118" s="1">
        <v>4</v>
      </c>
    </row>
    <row r="119" spans="1:19" ht="42" x14ac:dyDescent="0.15">
      <c r="A119" s="1" t="s">
        <v>32</v>
      </c>
      <c r="B119" s="1" t="s">
        <v>120</v>
      </c>
      <c r="C119" s="1">
        <v>6778</v>
      </c>
      <c r="D119" s="1">
        <v>4</v>
      </c>
      <c r="E119" s="1">
        <v>93242</v>
      </c>
      <c r="F119" s="2" t="s">
        <v>121</v>
      </c>
      <c r="G119" s="1" t="s">
        <v>124</v>
      </c>
      <c r="I119" s="1">
        <v>338</v>
      </c>
      <c r="J119" s="1" t="s">
        <v>35</v>
      </c>
      <c r="K119" s="1" t="s">
        <v>36</v>
      </c>
      <c r="L119" s="1" t="s">
        <v>123</v>
      </c>
      <c r="M119" s="1" t="s">
        <v>38</v>
      </c>
      <c r="N119" s="1">
        <v>151</v>
      </c>
      <c r="O119" s="1">
        <v>151</v>
      </c>
      <c r="P119" s="1">
        <v>0.21276595000000001</v>
      </c>
      <c r="Q119" s="1" t="s">
        <v>91</v>
      </c>
      <c r="R119" s="1">
        <v>10</v>
      </c>
    </row>
    <row r="120" spans="1:19" ht="42" x14ac:dyDescent="0.15">
      <c r="A120" s="1" t="s">
        <v>32</v>
      </c>
      <c r="B120" s="1" t="s">
        <v>120</v>
      </c>
      <c r="C120" s="1">
        <v>6778</v>
      </c>
      <c r="D120" s="1">
        <v>4</v>
      </c>
      <c r="E120" s="1">
        <v>93242</v>
      </c>
      <c r="F120" s="2" t="s">
        <v>121</v>
      </c>
      <c r="G120" s="1" t="s">
        <v>125</v>
      </c>
      <c r="I120" s="1">
        <v>338</v>
      </c>
      <c r="J120" s="1" t="s">
        <v>35</v>
      </c>
      <c r="K120" s="1" t="s">
        <v>36</v>
      </c>
      <c r="L120" s="1" t="s">
        <v>123</v>
      </c>
      <c r="M120" s="1" t="s">
        <v>38</v>
      </c>
      <c r="N120" s="1">
        <v>151</v>
      </c>
      <c r="O120" s="1">
        <v>151</v>
      </c>
      <c r="P120" s="1">
        <v>0.14893616500000001</v>
      </c>
      <c r="Q120" s="1" t="s">
        <v>91</v>
      </c>
      <c r="R120" s="1">
        <v>7</v>
      </c>
    </row>
    <row r="121" spans="1:19" ht="42" x14ac:dyDescent="0.15">
      <c r="A121" s="1" t="s">
        <v>32</v>
      </c>
      <c r="B121" s="1" t="s">
        <v>120</v>
      </c>
      <c r="C121" s="1">
        <v>6778</v>
      </c>
      <c r="D121" s="1">
        <v>4</v>
      </c>
      <c r="E121" s="1">
        <v>93242</v>
      </c>
      <c r="F121" s="2" t="s">
        <v>121</v>
      </c>
      <c r="G121" s="1" t="s">
        <v>126</v>
      </c>
      <c r="I121" s="1">
        <v>338</v>
      </c>
      <c r="J121" s="1" t="s">
        <v>35</v>
      </c>
      <c r="K121" s="1" t="s">
        <v>36</v>
      </c>
      <c r="L121" s="1" t="s">
        <v>123</v>
      </c>
      <c r="M121" s="1" t="s">
        <v>38</v>
      </c>
      <c r="N121" s="1">
        <v>151</v>
      </c>
      <c r="O121" s="1">
        <v>151</v>
      </c>
      <c r="P121" s="1">
        <v>8.5106379999999995E-2</v>
      </c>
      <c r="Q121" s="1" t="s">
        <v>91</v>
      </c>
      <c r="R121" s="1">
        <v>4</v>
      </c>
    </row>
    <row r="122" spans="1:19" ht="42" x14ac:dyDescent="0.15">
      <c r="A122" s="1" t="s">
        <v>32</v>
      </c>
      <c r="B122" s="1" t="s">
        <v>120</v>
      </c>
      <c r="C122" s="1">
        <v>6778</v>
      </c>
      <c r="D122" s="1">
        <v>4</v>
      </c>
      <c r="E122" s="1">
        <v>93242</v>
      </c>
      <c r="F122" s="2" t="s">
        <v>121</v>
      </c>
      <c r="G122" s="1" t="s">
        <v>127</v>
      </c>
      <c r="I122" s="1">
        <v>338</v>
      </c>
      <c r="J122" s="1" t="s">
        <v>35</v>
      </c>
      <c r="K122" s="1" t="s">
        <v>36</v>
      </c>
      <c r="L122" s="1" t="s">
        <v>123</v>
      </c>
      <c r="M122" s="1" t="s">
        <v>38</v>
      </c>
      <c r="N122" s="1">
        <v>151</v>
      </c>
      <c r="O122" s="1">
        <v>151</v>
      </c>
      <c r="P122" s="1">
        <v>0.46808508999999998</v>
      </c>
      <c r="Q122" s="1" t="s">
        <v>91</v>
      </c>
      <c r="R122" s="1">
        <v>22</v>
      </c>
    </row>
    <row r="123" spans="1:19" ht="28" x14ac:dyDescent="0.15">
      <c r="A123" s="1" t="s">
        <v>32</v>
      </c>
      <c r="B123" s="1" t="s">
        <v>51</v>
      </c>
      <c r="C123" s="1">
        <v>6940</v>
      </c>
      <c r="D123" s="1">
        <v>1</v>
      </c>
      <c r="E123" s="1">
        <v>93379</v>
      </c>
      <c r="F123" s="2" t="s">
        <v>128</v>
      </c>
      <c r="G123" s="1" t="s">
        <v>129</v>
      </c>
      <c r="I123" s="1">
        <v>545</v>
      </c>
      <c r="J123" s="1" t="s">
        <v>35</v>
      </c>
      <c r="K123" s="1" t="s">
        <v>36</v>
      </c>
      <c r="L123" s="1" t="s">
        <v>37</v>
      </c>
      <c r="M123" s="1" t="s">
        <v>54</v>
      </c>
      <c r="N123" s="1">
        <v>221</v>
      </c>
      <c r="O123" s="1">
        <v>201</v>
      </c>
      <c r="P123" s="1">
        <v>0.24999993599999901</v>
      </c>
      <c r="Q123" s="1" t="s">
        <v>55</v>
      </c>
      <c r="R123" s="1">
        <v>96</v>
      </c>
      <c r="S123" s="1">
        <v>634118.625</v>
      </c>
    </row>
    <row r="124" spans="1:19" ht="28" x14ac:dyDescent="0.15">
      <c r="A124" s="1" t="s">
        <v>32</v>
      </c>
      <c r="B124" s="1" t="s">
        <v>51</v>
      </c>
      <c r="C124" s="1">
        <v>6940</v>
      </c>
      <c r="D124" s="1">
        <v>1</v>
      </c>
      <c r="E124" s="1">
        <v>93379</v>
      </c>
      <c r="F124" s="2" t="s">
        <v>128</v>
      </c>
      <c r="G124" s="1" t="s">
        <v>130</v>
      </c>
      <c r="I124" s="1">
        <v>545</v>
      </c>
      <c r="J124" s="1" t="s">
        <v>35</v>
      </c>
      <c r="K124" s="1" t="s">
        <v>36</v>
      </c>
      <c r="L124" s="1" t="s">
        <v>37</v>
      </c>
      <c r="M124" s="1" t="s">
        <v>54</v>
      </c>
      <c r="N124" s="1">
        <v>221</v>
      </c>
      <c r="O124" s="1">
        <v>201</v>
      </c>
      <c r="P124" s="1">
        <v>0.24999993599999901</v>
      </c>
      <c r="Q124" s="1" t="s">
        <v>55</v>
      </c>
      <c r="R124" s="1">
        <v>96</v>
      </c>
      <c r="S124" s="1">
        <v>757006.10419999994</v>
      </c>
    </row>
    <row r="125" spans="1:19" ht="28" x14ac:dyDescent="0.15">
      <c r="A125" s="1" t="s">
        <v>32</v>
      </c>
      <c r="B125" s="1" t="s">
        <v>51</v>
      </c>
      <c r="C125" s="1">
        <v>6940</v>
      </c>
      <c r="D125" s="1">
        <v>1</v>
      </c>
      <c r="E125" s="1">
        <v>93379</v>
      </c>
      <c r="F125" s="2" t="s">
        <v>128</v>
      </c>
      <c r="G125" s="1" t="s">
        <v>131</v>
      </c>
      <c r="I125" s="1">
        <v>545</v>
      </c>
      <c r="J125" s="1" t="s">
        <v>35</v>
      </c>
      <c r="K125" s="1" t="s">
        <v>36</v>
      </c>
      <c r="L125" s="1" t="s">
        <v>37</v>
      </c>
      <c r="M125" s="1" t="s">
        <v>54</v>
      </c>
      <c r="N125" s="1">
        <v>221</v>
      </c>
      <c r="O125" s="1">
        <v>201</v>
      </c>
      <c r="P125" s="1">
        <v>0.24999993599999901</v>
      </c>
      <c r="Q125" s="1" t="s">
        <v>55</v>
      </c>
      <c r="R125" s="1">
        <v>96</v>
      </c>
      <c r="S125" s="1">
        <v>475645.96879999997</v>
      </c>
    </row>
    <row r="126" spans="1:19" ht="28" x14ac:dyDescent="0.15">
      <c r="A126" s="1" t="s">
        <v>32</v>
      </c>
      <c r="B126" s="1" t="s">
        <v>51</v>
      </c>
      <c r="C126" s="1">
        <v>6940</v>
      </c>
      <c r="D126" s="1">
        <v>1</v>
      </c>
      <c r="E126" s="1">
        <v>93379</v>
      </c>
      <c r="F126" s="2" t="s">
        <v>128</v>
      </c>
      <c r="G126" s="1" t="s">
        <v>132</v>
      </c>
      <c r="I126" s="1">
        <v>545</v>
      </c>
      <c r="J126" s="1" t="s">
        <v>35</v>
      </c>
      <c r="K126" s="1" t="s">
        <v>36</v>
      </c>
      <c r="L126" s="1" t="s">
        <v>37</v>
      </c>
      <c r="M126" s="1" t="s">
        <v>54</v>
      </c>
      <c r="N126" s="1">
        <v>221</v>
      </c>
      <c r="O126" s="1">
        <v>201</v>
      </c>
      <c r="P126" s="1">
        <v>0.24999993599999901</v>
      </c>
      <c r="Q126" s="1" t="s">
        <v>55</v>
      </c>
      <c r="R126" s="1">
        <v>96</v>
      </c>
      <c r="S126" s="1">
        <v>393419.7708</v>
      </c>
    </row>
    <row r="127" spans="1:19" ht="28" x14ac:dyDescent="0.15">
      <c r="A127" s="1" t="s">
        <v>32</v>
      </c>
      <c r="B127" s="1" t="s">
        <v>51</v>
      </c>
      <c r="C127" s="1">
        <v>6940</v>
      </c>
      <c r="D127" s="1">
        <v>2</v>
      </c>
      <c r="E127" s="1">
        <v>93379</v>
      </c>
      <c r="F127" s="2" t="s">
        <v>128</v>
      </c>
      <c r="G127" s="1" t="s">
        <v>129</v>
      </c>
      <c r="I127" s="1">
        <v>545</v>
      </c>
      <c r="J127" s="1" t="s">
        <v>35</v>
      </c>
      <c r="K127" s="1" t="s">
        <v>36</v>
      </c>
      <c r="L127" s="1" t="s">
        <v>37</v>
      </c>
      <c r="M127" s="1" t="s">
        <v>54</v>
      </c>
      <c r="N127" s="1">
        <v>221</v>
      </c>
      <c r="O127" s="1">
        <v>201</v>
      </c>
      <c r="P127" s="1">
        <v>0.24999993599999901</v>
      </c>
      <c r="Q127" s="1" t="s">
        <v>55</v>
      </c>
      <c r="R127" s="1">
        <v>96</v>
      </c>
      <c r="S127" s="1">
        <v>630076.55209999997</v>
      </c>
    </row>
    <row r="128" spans="1:19" ht="28" x14ac:dyDescent="0.15">
      <c r="A128" s="1" t="s">
        <v>32</v>
      </c>
      <c r="B128" s="1" t="s">
        <v>51</v>
      </c>
      <c r="C128" s="1">
        <v>6940</v>
      </c>
      <c r="D128" s="1">
        <v>2</v>
      </c>
      <c r="E128" s="1">
        <v>93379</v>
      </c>
      <c r="F128" s="2" t="s">
        <v>128</v>
      </c>
      <c r="G128" s="1" t="s">
        <v>130</v>
      </c>
      <c r="I128" s="1">
        <v>545</v>
      </c>
      <c r="J128" s="1" t="s">
        <v>35</v>
      </c>
      <c r="K128" s="1" t="s">
        <v>36</v>
      </c>
      <c r="L128" s="1" t="s">
        <v>37</v>
      </c>
      <c r="M128" s="1" t="s">
        <v>54</v>
      </c>
      <c r="N128" s="1">
        <v>221</v>
      </c>
      <c r="O128" s="1">
        <v>201</v>
      </c>
      <c r="P128" s="1">
        <v>0.24999993599999901</v>
      </c>
      <c r="Q128" s="1" t="s">
        <v>55</v>
      </c>
      <c r="R128" s="1">
        <v>96</v>
      </c>
      <c r="S128" s="1">
        <v>752011.28130000003</v>
      </c>
    </row>
    <row r="129" spans="1:19" ht="28" x14ac:dyDescent="0.15">
      <c r="A129" s="1" t="s">
        <v>32</v>
      </c>
      <c r="B129" s="1" t="s">
        <v>51</v>
      </c>
      <c r="C129" s="1">
        <v>6940</v>
      </c>
      <c r="D129" s="1">
        <v>2</v>
      </c>
      <c r="E129" s="1">
        <v>93379</v>
      </c>
      <c r="F129" s="2" t="s">
        <v>128</v>
      </c>
      <c r="G129" s="1" t="s">
        <v>131</v>
      </c>
      <c r="I129" s="1">
        <v>545</v>
      </c>
      <c r="J129" s="1" t="s">
        <v>35</v>
      </c>
      <c r="K129" s="1" t="s">
        <v>36</v>
      </c>
      <c r="L129" s="1" t="s">
        <v>37</v>
      </c>
      <c r="M129" s="1" t="s">
        <v>54</v>
      </c>
      <c r="N129" s="1">
        <v>221</v>
      </c>
      <c r="O129" s="1">
        <v>201</v>
      </c>
      <c r="P129" s="1">
        <v>0.24999993599999901</v>
      </c>
      <c r="Q129" s="1" t="s">
        <v>55</v>
      </c>
      <c r="R129" s="1">
        <v>96</v>
      </c>
      <c r="S129" s="1">
        <v>472889.86459999997</v>
      </c>
    </row>
    <row r="130" spans="1:19" ht="28" x14ac:dyDescent="0.15">
      <c r="A130" s="1" t="s">
        <v>32</v>
      </c>
      <c r="B130" s="1" t="s">
        <v>51</v>
      </c>
      <c r="C130" s="1">
        <v>6940</v>
      </c>
      <c r="D130" s="1">
        <v>2</v>
      </c>
      <c r="E130" s="1">
        <v>93379</v>
      </c>
      <c r="F130" s="2" t="s">
        <v>128</v>
      </c>
      <c r="G130" s="1" t="s">
        <v>132</v>
      </c>
      <c r="I130" s="1">
        <v>545</v>
      </c>
      <c r="J130" s="1" t="s">
        <v>35</v>
      </c>
      <c r="K130" s="1" t="s">
        <v>36</v>
      </c>
      <c r="L130" s="1" t="s">
        <v>37</v>
      </c>
      <c r="M130" s="1" t="s">
        <v>54</v>
      </c>
      <c r="N130" s="1">
        <v>221</v>
      </c>
      <c r="O130" s="1">
        <v>201</v>
      </c>
      <c r="P130" s="1">
        <v>0.24999993599999901</v>
      </c>
      <c r="Q130" s="1" t="s">
        <v>55</v>
      </c>
      <c r="R130" s="1">
        <v>96</v>
      </c>
      <c r="S130" s="1">
        <v>391545.09379999997</v>
      </c>
    </row>
    <row r="131" spans="1:19" ht="13" x14ac:dyDescent="0.15">
      <c r="F131" s="2"/>
    </row>
    <row r="132" spans="1:19" ht="13" x14ac:dyDescent="0.15">
      <c r="F132" s="2"/>
    </row>
    <row r="133" spans="1:19" ht="13" x14ac:dyDescent="0.15">
      <c r="F133" s="2"/>
    </row>
    <row r="134" spans="1:19" ht="13" x14ac:dyDescent="0.15">
      <c r="F134" s="2"/>
    </row>
    <row r="135" spans="1:19" ht="13" x14ac:dyDescent="0.15">
      <c r="F135" s="2"/>
    </row>
    <row r="136" spans="1:19" ht="13" x14ac:dyDescent="0.15">
      <c r="F136" s="2"/>
    </row>
    <row r="137" spans="1:19" ht="13" x14ac:dyDescent="0.15">
      <c r="F137" s="2"/>
    </row>
    <row r="138" spans="1:19" ht="13" x14ac:dyDescent="0.15">
      <c r="F138" s="2"/>
    </row>
    <row r="139" spans="1:19" ht="13" x14ac:dyDescent="0.15">
      <c r="F139" s="2"/>
    </row>
    <row r="140" spans="1:19" ht="13" x14ac:dyDescent="0.15">
      <c r="F140" s="2"/>
    </row>
    <row r="141" spans="1:19" ht="13" x14ac:dyDescent="0.15">
      <c r="F141" s="2"/>
    </row>
    <row r="142" spans="1:19" ht="13" x14ac:dyDescent="0.15">
      <c r="F142" s="2"/>
    </row>
    <row r="143" spans="1:19" ht="13" x14ac:dyDescent="0.15">
      <c r="F143" s="2"/>
    </row>
    <row r="144" spans="1:19" ht="13" x14ac:dyDescent="0.15">
      <c r="F144" s="2"/>
    </row>
    <row r="145" spans="6:6" ht="13" x14ac:dyDescent="0.15">
      <c r="F145" s="2"/>
    </row>
    <row r="146" spans="6:6" ht="13" x14ac:dyDescent="0.15">
      <c r="F146" s="2"/>
    </row>
    <row r="147" spans="6:6" ht="13" x14ac:dyDescent="0.15">
      <c r="F147" s="2"/>
    </row>
    <row r="148" spans="6:6" ht="13" x14ac:dyDescent="0.15">
      <c r="F148" s="2"/>
    </row>
    <row r="149" spans="6:6" ht="13" x14ac:dyDescent="0.15">
      <c r="F149" s="2"/>
    </row>
    <row r="150" spans="6:6" ht="13" x14ac:dyDescent="0.15">
      <c r="F150" s="2"/>
    </row>
    <row r="151" spans="6:6" ht="13" x14ac:dyDescent="0.15">
      <c r="F151" s="2"/>
    </row>
    <row r="152" spans="6:6" ht="13" x14ac:dyDescent="0.15">
      <c r="F152" s="2"/>
    </row>
    <row r="153" spans="6:6" ht="13" x14ac:dyDescent="0.15">
      <c r="F153" s="2"/>
    </row>
    <row r="154" spans="6:6" ht="13" x14ac:dyDescent="0.15">
      <c r="F154" s="2"/>
    </row>
    <row r="155" spans="6:6" ht="13" x14ac:dyDescent="0.15">
      <c r="F155" s="2"/>
    </row>
    <row r="156" spans="6:6" ht="13" x14ac:dyDescent="0.15">
      <c r="F156" s="2"/>
    </row>
    <row r="157" spans="6:6" ht="13" x14ac:dyDescent="0.15">
      <c r="F157" s="2"/>
    </row>
    <row r="158" spans="6:6" ht="13" x14ac:dyDescent="0.15">
      <c r="F158" s="2"/>
    </row>
    <row r="159" spans="6:6" ht="13" x14ac:dyDescent="0.15">
      <c r="F159" s="2"/>
    </row>
    <row r="160" spans="6:6" ht="13" x14ac:dyDescent="0.15">
      <c r="F160" s="2"/>
    </row>
    <row r="161" spans="6:6" ht="13" x14ac:dyDescent="0.15">
      <c r="F161" s="2"/>
    </row>
    <row r="162" spans="6:6" ht="13" x14ac:dyDescent="0.15">
      <c r="F162" s="2"/>
    </row>
    <row r="163" spans="6:6" ht="13" x14ac:dyDescent="0.15">
      <c r="F163" s="2"/>
    </row>
    <row r="164" spans="6:6" ht="13" x14ac:dyDescent="0.15">
      <c r="F164" s="2"/>
    </row>
    <row r="165" spans="6:6" ht="13" x14ac:dyDescent="0.15">
      <c r="F165" s="2"/>
    </row>
    <row r="166" spans="6:6" ht="13" x14ac:dyDescent="0.15">
      <c r="F166" s="2"/>
    </row>
    <row r="167" spans="6:6" ht="13" x14ac:dyDescent="0.15">
      <c r="F167" s="2"/>
    </row>
    <row r="168" spans="6:6" ht="13" x14ac:dyDescent="0.15">
      <c r="F168" s="2"/>
    </row>
    <row r="169" spans="6:6" ht="13" x14ac:dyDescent="0.15">
      <c r="F169" s="2"/>
    </row>
    <row r="170" spans="6:6" ht="13" x14ac:dyDescent="0.15">
      <c r="F170" s="2"/>
    </row>
    <row r="171" spans="6:6" ht="13" x14ac:dyDescent="0.15">
      <c r="F171" s="2"/>
    </row>
    <row r="172" spans="6:6" ht="13" x14ac:dyDescent="0.15">
      <c r="F172" s="2"/>
    </row>
    <row r="173" spans="6:6" ht="13" x14ac:dyDescent="0.15">
      <c r="F173" s="2"/>
    </row>
    <row r="174" spans="6:6" ht="13" x14ac:dyDescent="0.15">
      <c r="F174" s="2"/>
    </row>
    <row r="175" spans="6:6" ht="13" x14ac:dyDescent="0.15">
      <c r="F175" s="2"/>
    </row>
    <row r="176" spans="6:6" ht="13" x14ac:dyDescent="0.15">
      <c r="F176" s="2"/>
    </row>
    <row r="177" spans="6:6" ht="13" x14ac:dyDescent="0.15">
      <c r="F177" s="2"/>
    </row>
    <row r="178" spans="6:6" ht="13" x14ac:dyDescent="0.15">
      <c r="F178" s="2"/>
    </row>
    <row r="179" spans="6:6" ht="13" x14ac:dyDescent="0.15">
      <c r="F179" s="2"/>
    </row>
    <row r="180" spans="6:6" ht="13" x14ac:dyDescent="0.15">
      <c r="F180" s="2"/>
    </row>
    <row r="181" spans="6:6" ht="13" x14ac:dyDescent="0.15">
      <c r="F181" s="2"/>
    </row>
    <row r="182" spans="6:6" ht="13" x14ac:dyDescent="0.15">
      <c r="F182" s="2"/>
    </row>
    <row r="183" spans="6:6" ht="13" x14ac:dyDescent="0.15">
      <c r="F183" s="2"/>
    </row>
    <row r="184" spans="6:6" ht="13" x14ac:dyDescent="0.15">
      <c r="F184" s="2"/>
    </row>
    <row r="185" spans="6:6" ht="13" x14ac:dyDescent="0.15">
      <c r="F185" s="2"/>
    </row>
    <row r="186" spans="6:6" ht="13" x14ac:dyDescent="0.15">
      <c r="F186" s="2"/>
    </row>
    <row r="187" spans="6:6" ht="13" x14ac:dyDescent="0.15">
      <c r="F187" s="2"/>
    </row>
    <row r="188" spans="6:6" ht="13" x14ac:dyDescent="0.15">
      <c r="F188" s="2"/>
    </row>
    <row r="189" spans="6:6" ht="13" x14ac:dyDescent="0.15">
      <c r="F189" s="2"/>
    </row>
    <row r="190" spans="6:6" ht="13" x14ac:dyDescent="0.15">
      <c r="F190" s="2"/>
    </row>
    <row r="191" spans="6:6" ht="13" x14ac:dyDescent="0.15">
      <c r="F191" s="2"/>
    </row>
    <row r="192" spans="6:6" ht="13" x14ac:dyDescent="0.15">
      <c r="F192" s="2"/>
    </row>
    <row r="193" spans="6:6" ht="13" x14ac:dyDescent="0.15">
      <c r="F193" s="2"/>
    </row>
    <row r="194" spans="6:6" ht="13" x14ac:dyDescent="0.15">
      <c r="F194" s="2"/>
    </row>
    <row r="195" spans="6:6" ht="13" x14ac:dyDescent="0.15">
      <c r="F195" s="2"/>
    </row>
    <row r="196" spans="6:6" ht="13" x14ac:dyDescent="0.15">
      <c r="F196" s="2"/>
    </row>
    <row r="197" spans="6:6" ht="13" x14ac:dyDescent="0.15">
      <c r="F197" s="2"/>
    </row>
    <row r="198" spans="6:6" ht="13" x14ac:dyDescent="0.15">
      <c r="F198" s="2"/>
    </row>
    <row r="199" spans="6:6" ht="13" x14ac:dyDescent="0.15">
      <c r="F199" s="2"/>
    </row>
    <row r="200" spans="6:6" ht="13" x14ac:dyDescent="0.15">
      <c r="F200" s="2"/>
    </row>
    <row r="201" spans="6:6" ht="13" x14ac:dyDescent="0.15">
      <c r="F201" s="2"/>
    </row>
    <row r="202" spans="6:6" ht="13" x14ac:dyDescent="0.15">
      <c r="F202" s="2"/>
    </row>
    <row r="203" spans="6:6" ht="13" x14ac:dyDescent="0.15">
      <c r="F203" s="2"/>
    </row>
    <row r="204" spans="6:6" ht="13" x14ac:dyDescent="0.15">
      <c r="F204" s="2"/>
    </row>
    <row r="205" spans="6:6" ht="13" x14ac:dyDescent="0.15">
      <c r="F205" s="2"/>
    </row>
    <row r="206" spans="6:6" ht="13" x14ac:dyDescent="0.15">
      <c r="F206" s="2"/>
    </row>
    <row r="207" spans="6:6" ht="13" x14ac:dyDescent="0.15">
      <c r="F207" s="2"/>
    </row>
    <row r="208" spans="6:6" ht="13" x14ac:dyDescent="0.15">
      <c r="F208" s="2"/>
    </row>
    <row r="209" spans="6:6" ht="13" x14ac:dyDescent="0.15">
      <c r="F209" s="2"/>
    </row>
    <row r="210" spans="6:6" ht="13" x14ac:dyDescent="0.15">
      <c r="F210" s="2"/>
    </row>
    <row r="211" spans="6:6" ht="13" x14ac:dyDescent="0.15">
      <c r="F211" s="2"/>
    </row>
    <row r="212" spans="6:6" ht="13" x14ac:dyDescent="0.15">
      <c r="F212" s="2"/>
    </row>
    <row r="213" spans="6:6" ht="13" x14ac:dyDescent="0.15">
      <c r="F213" s="2"/>
    </row>
    <row r="214" spans="6:6" ht="13" x14ac:dyDescent="0.15">
      <c r="F214" s="2"/>
    </row>
    <row r="215" spans="6:6" ht="13" x14ac:dyDescent="0.15">
      <c r="F215" s="2"/>
    </row>
    <row r="216" spans="6:6" ht="13" x14ac:dyDescent="0.15">
      <c r="F216" s="2"/>
    </row>
    <row r="217" spans="6:6" ht="13" x14ac:dyDescent="0.15">
      <c r="F217" s="2"/>
    </row>
    <row r="218" spans="6:6" ht="13" x14ac:dyDescent="0.15">
      <c r="F218" s="2"/>
    </row>
    <row r="219" spans="6:6" ht="13" x14ac:dyDescent="0.15">
      <c r="F219" s="2"/>
    </row>
    <row r="220" spans="6:6" ht="13" x14ac:dyDescent="0.15">
      <c r="F220" s="2"/>
    </row>
    <row r="221" spans="6:6" ht="13" x14ac:dyDescent="0.15">
      <c r="F221" s="2"/>
    </row>
    <row r="222" spans="6:6" ht="13" x14ac:dyDescent="0.15">
      <c r="F222" s="2"/>
    </row>
    <row r="223" spans="6:6" ht="13" x14ac:dyDescent="0.15">
      <c r="F223" s="2"/>
    </row>
    <row r="224" spans="6:6" ht="13" x14ac:dyDescent="0.15">
      <c r="F224" s="2"/>
    </row>
    <row r="225" spans="6:6" ht="13" x14ac:dyDescent="0.15">
      <c r="F225" s="2"/>
    </row>
    <row r="226" spans="6:6" ht="13" x14ac:dyDescent="0.15">
      <c r="F226" s="2"/>
    </row>
    <row r="227" spans="6:6" ht="13" x14ac:dyDescent="0.15">
      <c r="F227" s="2"/>
    </row>
    <row r="228" spans="6:6" ht="13" x14ac:dyDescent="0.15">
      <c r="F228" s="2"/>
    </row>
    <row r="229" spans="6:6" ht="13" x14ac:dyDescent="0.15">
      <c r="F229" s="2"/>
    </row>
    <row r="230" spans="6:6" ht="13" x14ac:dyDescent="0.15">
      <c r="F230" s="2"/>
    </row>
    <row r="231" spans="6:6" ht="13" x14ac:dyDescent="0.15">
      <c r="F231" s="2"/>
    </row>
    <row r="232" spans="6:6" ht="13" x14ac:dyDescent="0.15">
      <c r="F232" s="2"/>
    </row>
    <row r="233" spans="6:6" ht="13" x14ac:dyDescent="0.15">
      <c r="F233" s="2"/>
    </row>
    <row r="234" spans="6:6" ht="13" x14ac:dyDescent="0.15">
      <c r="F234" s="2"/>
    </row>
    <row r="235" spans="6:6" ht="13" x14ac:dyDescent="0.15">
      <c r="F235" s="2"/>
    </row>
    <row r="236" spans="6:6" ht="13" x14ac:dyDescent="0.15">
      <c r="F236" s="2"/>
    </row>
    <row r="237" spans="6:6" ht="13" x14ac:dyDescent="0.15">
      <c r="F237" s="2"/>
    </row>
    <row r="238" spans="6:6" ht="13" x14ac:dyDescent="0.15">
      <c r="F238" s="2"/>
    </row>
    <row r="239" spans="6:6" ht="13" x14ac:dyDescent="0.15">
      <c r="F239" s="2"/>
    </row>
    <row r="240" spans="6:6" ht="13" x14ac:dyDescent="0.15">
      <c r="F240" s="2"/>
    </row>
    <row r="241" spans="6:6" ht="13" x14ac:dyDescent="0.15">
      <c r="F241" s="2"/>
    </row>
    <row r="242" spans="6:6" ht="13" x14ac:dyDescent="0.15">
      <c r="F242" s="2"/>
    </row>
    <row r="243" spans="6:6" ht="13" x14ac:dyDescent="0.15">
      <c r="F243" s="2"/>
    </row>
    <row r="244" spans="6:6" ht="13" x14ac:dyDescent="0.15">
      <c r="F244" s="2"/>
    </row>
    <row r="245" spans="6:6" ht="13" x14ac:dyDescent="0.15">
      <c r="F245" s="2"/>
    </row>
    <row r="246" spans="6:6" ht="13" x14ac:dyDescent="0.15">
      <c r="F246" s="2"/>
    </row>
    <row r="247" spans="6:6" ht="13" x14ac:dyDescent="0.15">
      <c r="F247" s="2"/>
    </row>
    <row r="248" spans="6:6" ht="13" x14ac:dyDescent="0.15">
      <c r="F248" s="2"/>
    </row>
    <row r="249" spans="6:6" ht="13" x14ac:dyDescent="0.15">
      <c r="F249" s="2"/>
    </row>
    <row r="250" spans="6:6" ht="13" x14ac:dyDescent="0.15">
      <c r="F250" s="2"/>
    </row>
    <row r="251" spans="6:6" ht="13" x14ac:dyDescent="0.15">
      <c r="F251" s="2"/>
    </row>
    <row r="252" spans="6:6" ht="13" x14ac:dyDescent="0.15">
      <c r="F252" s="2"/>
    </row>
    <row r="253" spans="6:6" ht="13" x14ac:dyDescent="0.15">
      <c r="F253" s="2"/>
    </row>
    <row r="254" spans="6:6" ht="13" x14ac:dyDescent="0.15">
      <c r="F254" s="2"/>
    </row>
    <row r="255" spans="6:6" ht="13" x14ac:dyDescent="0.15">
      <c r="F255" s="2"/>
    </row>
    <row r="256" spans="6:6" ht="13" x14ac:dyDescent="0.15">
      <c r="F256" s="2"/>
    </row>
    <row r="257" spans="6:6" ht="13" x14ac:dyDescent="0.15">
      <c r="F257" s="2"/>
    </row>
    <row r="258" spans="6:6" ht="13" x14ac:dyDescent="0.15">
      <c r="F258" s="2"/>
    </row>
    <row r="259" spans="6:6" ht="13" x14ac:dyDescent="0.15">
      <c r="F259" s="2"/>
    </row>
    <row r="260" spans="6:6" ht="13" x14ac:dyDescent="0.15">
      <c r="F260" s="2"/>
    </row>
    <row r="261" spans="6:6" ht="13" x14ac:dyDescent="0.15">
      <c r="F261" s="2"/>
    </row>
    <row r="262" spans="6:6" ht="13" x14ac:dyDescent="0.15">
      <c r="F262" s="2"/>
    </row>
    <row r="263" spans="6:6" ht="13" x14ac:dyDescent="0.15">
      <c r="F263" s="2"/>
    </row>
    <row r="264" spans="6:6" ht="13" x14ac:dyDescent="0.15">
      <c r="F264" s="2"/>
    </row>
    <row r="265" spans="6:6" ht="13" x14ac:dyDescent="0.15">
      <c r="F265" s="2"/>
    </row>
    <row r="266" spans="6:6" ht="13" x14ac:dyDescent="0.15">
      <c r="F266" s="2"/>
    </row>
    <row r="267" spans="6:6" ht="13" x14ac:dyDescent="0.15">
      <c r="F267" s="2"/>
    </row>
    <row r="268" spans="6:6" ht="13" x14ac:dyDescent="0.15">
      <c r="F268" s="2"/>
    </row>
    <row r="269" spans="6:6" ht="13" x14ac:dyDescent="0.15">
      <c r="F269" s="2"/>
    </row>
    <row r="270" spans="6:6" ht="13" x14ac:dyDescent="0.15">
      <c r="F270" s="2"/>
    </row>
    <row r="271" spans="6:6" ht="13" x14ac:dyDescent="0.15">
      <c r="F271" s="2"/>
    </row>
    <row r="272" spans="6:6" ht="13" x14ac:dyDescent="0.15">
      <c r="F272" s="2"/>
    </row>
    <row r="273" spans="6:6" ht="13" x14ac:dyDescent="0.15">
      <c r="F273" s="2"/>
    </row>
    <row r="274" spans="6:6" ht="13" x14ac:dyDescent="0.15">
      <c r="F274" s="2"/>
    </row>
    <row r="275" spans="6:6" ht="13" x14ac:dyDescent="0.15">
      <c r="F275" s="2"/>
    </row>
    <row r="276" spans="6:6" ht="13" x14ac:dyDescent="0.15">
      <c r="F276" s="2"/>
    </row>
    <row r="277" spans="6:6" ht="13" x14ac:dyDescent="0.15">
      <c r="F277" s="2"/>
    </row>
    <row r="278" spans="6:6" ht="13" x14ac:dyDescent="0.15">
      <c r="F278" s="2"/>
    </row>
    <row r="279" spans="6:6" ht="13" x14ac:dyDescent="0.15">
      <c r="F279" s="2"/>
    </row>
    <row r="280" spans="6:6" ht="13" x14ac:dyDescent="0.15">
      <c r="F280" s="2"/>
    </row>
    <row r="281" spans="6:6" ht="13" x14ac:dyDescent="0.15">
      <c r="F281" s="2"/>
    </row>
    <row r="282" spans="6:6" ht="13" x14ac:dyDescent="0.15">
      <c r="F282" s="2"/>
    </row>
    <row r="283" spans="6:6" ht="13" x14ac:dyDescent="0.15">
      <c r="F283" s="2"/>
    </row>
    <row r="284" spans="6:6" ht="13" x14ac:dyDescent="0.15">
      <c r="F284" s="2"/>
    </row>
    <row r="285" spans="6:6" ht="13" x14ac:dyDescent="0.15">
      <c r="F285" s="2"/>
    </row>
    <row r="286" spans="6:6" ht="13" x14ac:dyDescent="0.15">
      <c r="F286" s="2"/>
    </row>
    <row r="287" spans="6:6" ht="13" x14ac:dyDescent="0.15">
      <c r="F287" s="2"/>
    </row>
    <row r="288" spans="6:6" ht="13" x14ac:dyDescent="0.15">
      <c r="F288" s="2"/>
    </row>
    <row r="289" spans="6:6" ht="13" x14ac:dyDescent="0.15">
      <c r="F289" s="2"/>
    </row>
    <row r="290" spans="6:6" ht="13" x14ac:dyDescent="0.15">
      <c r="F290" s="2"/>
    </row>
    <row r="291" spans="6:6" ht="13" x14ac:dyDescent="0.15">
      <c r="F291" s="2"/>
    </row>
    <row r="292" spans="6:6" ht="13" x14ac:dyDescent="0.15">
      <c r="F292" s="2"/>
    </row>
    <row r="293" spans="6:6" ht="13" x14ac:dyDescent="0.15">
      <c r="F293" s="2"/>
    </row>
    <row r="294" spans="6:6" ht="13" x14ac:dyDescent="0.15">
      <c r="F294" s="2"/>
    </row>
    <row r="295" spans="6:6" ht="13" x14ac:dyDescent="0.15">
      <c r="F295" s="2"/>
    </row>
    <row r="296" spans="6:6" ht="13" x14ac:dyDescent="0.15">
      <c r="F296" s="2"/>
    </row>
    <row r="297" spans="6:6" ht="13" x14ac:dyDescent="0.15">
      <c r="F297" s="2"/>
    </row>
    <row r="298" spans="6:6" ht="13" x14ac:dyDescent="0.15">
      <c r="F298" s="2"/>
    </row>
    <row r="299" spans="6:6" ht="13" x14ac:dyDescent="0.15">
      <c r="F299" s="2"/>
    </row>
    <row r="300" spans="6:6" ht="13" x14ac:dyDescent="0.15">
      <c r="F300" s="2"/>
    </row>
    <row r="301" spans="6:6" ht="13" x14ac:dyDescent="0.15">
      <c r="F301" s="2"/>
    </row>
    <row r="302" spans="6:6" ht="13" x14ac:dyDescent="0.15">
      <c r="F302" s="2"/>
    </row>
    <row r="303" spans="6:6" ht="13" x14ac:dyDescent="0.15">
      <c r="F303" s="2"/>
    </row>
    <row r="304" spans="6:6" ht="13" x14ac:dyDescent="0.15">
      <c r="F304" s="2"/>
    </row>
    <row r="305" spans="6:6" ht="13" x14ac:dyDescent="0.15">
      <c r="F305" s="2"/>
    </row>
    <row r="306" spans="6:6" ht="13" x14ac:dyDescent="0.15">
      <c r="F306" s="2"/>
    </row>
    <row r="307" spans="6:6" ht="13" x14ac:dyDescent="0.15">
      <c r="F307" s="2"/>
    </row>
    <row r="308" spans="6:6" ht="13" x14ac:dyDescent="0.15">
      <c r="F308" s="2"/>
    </row>
    <row r="309" spans="6:6" ht="13" x14ac:dyDescent="0.15">
      <c r="F309" s="2"/>
    </row>
    <row r="310" spans="6:6" ht="13" x14ac:dyDescent="0.15">
      <c r="F310" s="2"/>
    </row>
    <row r="311" spans="6:6" ht="13" x14ac:dyDescent="0.15">
      <c r="F311" s="2"/>
    </row>
    <row r="312" spans="6:6" ht="13" x14ac:dyDescent="0.15">
      <c r="F312" s="2"/>
    </row>
    <row r="313" spans="6:6" ht="13" x14ac:dyDescent="0.15">
      <c r="F313" s="2"/>
    </row>
    <row r="314" spans="6:6" ht="13" x14ac:dyDescent="0.15">
      <c r="F314" s="2"/>
    </row>
    <row r="315" spans="6:6" ht="13" x14ac:dyDescent="0.15">
      <c r="F315" s="2"/>
    </row>
    <row r="316" spans="6:6" ht="13" x14ac:dyDescent="0.15">
      <c r="F316" s="2"/>
    </row>
    <row r="317" spans="6:6" ht="13" x14ac:dyDescent="0.15">
      <c r="F317" s="2"/>
    </row>
    <row r="318" spans="6:6" ht="13" x14ac:dyDescent="0.15">
      <c r="F318" s="2"/>
    </row>
    <row r="319" spans="6:6" ht="13" x14ac:dyDescent="0.15">
      <c r="F319" s="2"/>
    </row>
    <row r="320" spans="6:6" ht="13" x14ac:dyDescent="0.15">
      <c r="F320" s="2"/>
    </row>
    <row r="321" spans="6:6" ht="13" x14ac:dyDescent="0.15">
      <c r="F321" s="2"/>
    </row>
    <row r="322" spans="6:6" ht="13" x14ac:dyDescent="0.15">
      <c r="F322" s="2"/>
    </row>
    <row r="323" spans="6:6" ht="13" x14ac:dyDescent="0.15">
      <c r="F323" s="2"/>
    </row>
    <row r="324" spans="6:6" ht="13" x14ac:dyDescent="0.15">
      <c r="F324" s="2"/>
    </row>
    <row r="325" spans="6:6" ht="13" x14ac:dyDescent="0.15">
      <c r="F325" s="2"/>
    </row>
    <row r="326" spans="6:6" ht="13" x14ac:dyDescent="0.15">
      <c r="F326" s="2"/>
    </row>
    <row r="327" spans="6:6" ht="13" x14ac:dyDescent="0.15">
      <c r="F327" s="2"/>
    </row>
    <row r="328" spans="6:6" ht="13" x14ac:dyDescent="0.15">
      <c r="F328" s="2"/>
    </row>
    <row r="329" spans="6:6" ht="13" x14ac:dyDescent="0.15">
      <c r="F329" s="2"/>
    </row>
    <row r="330" spans="6:6" ht="13" x14ac:dyDescent="0.15">
      <c r="F330" s="2"/>
    </row>
    <row r="331" spans="6:6" ht="13" x14ac:dyDescent="0.15">
      <c r="F331" s="2"/>
    </row>
    <row r="332" spans="6:6" ht="13" x14ac:dyDescent="0.15">
      <c r="F332" s="2"/>
    </row>
    <row r="333" spans="6:6" ht="13" x14ac:dyDescent="0.15">
      <c r="F333" s="2"/>
    </row>
    <row r="334" spans="6:6" ht="13" x14ac:dyDescent="0.15">
      <c r="F334" s="2"/>
    </row>
    <row r="335" spans="6:6" ht="13" x14ac:dyDescent="0.15">
      <c r="F335" s="2"/>
    </row>
    <row r="336" spans="6:6" ht="13" x14ac:dyDescent="0.15">
      <c r="F336" s="2"/>
    </row>
    <row r="337" spans="6:6" ht="13" x14ac:dyDescent="0.15">
      <c r="F337" s="2"/>
    </row>
    <row r="338" spans="6:6" ht="13" x14ac:dyDescent="0.15">
      <c r="F338" s="2"/>
    </row>
    <row r="339" spans="6:6" ht="13" x14ac:dyDescent="0.15">
      <c r="F339" s="2"/>
    </row>
    <row r="340" spans="6:6" ht="13" x14ac:dyDescent="0.15">
      <c r="F340" s="2"/>
    </row>
    <row r="341" spans="6:6" ht="13" x14ac:dyDescent="0.15">
      <c r="F341" s="2"/>
    </row>
    <row r="342" spans="6:6" ht="13" x14ac:dyDescent="0.15">
      <c r="F342" s="2"/>
    </row>
    <row r="343" spans="6:6" ht="13" x14ac:dyDescent="0.15">
      <c r="F343" s="2"/>
    </row>
    <row r="344" spans="6:6" ht="13" x14ac:dyDescent="0.15">
      <c r="F344" s="2"/>
    </row>
    <row r="345" spans="6:6" ht="13" x14ac:dyDescent="0.15">
      <c r="F345" s="2"/>
    </row>
    <row r="346" spans="6:6" ht="13" x14ac:dyDescent="0.15">
      <c r="F346" s="2"/>
    </row>
    <row r="347" spans="6:6" ht="13" x14ac:dyDescent="0.15">
      <c r="F347" s="2"/>
    </row>
    <row r="348" spans="6:6" ht="13" x14ac:dyDescent="0.15">
      <c r="F348" s="2"/>
    </row>
    <row r="349" spans="6:6" ht="13" x14ac:dyDescent="0.15">
      <c r="F349" s="2"/>
    </row>
    <row r="350" spans="6:6" ht="13" x14ac:dyDescent="0.15">
      <c r="F350" s="2"/>
    </row>
    <row r="351" spans="6:6" ht="13" x14ac:dyDescent="0.15">
      <c r="F351" s="2"/>
    </row>
    <row r="352" spans="6:6" ht="13" x14ac:dyDescent="0.15">
      <c r="F352" s="2"/>
    </row>
    <row r="353" spans="6:6" ht="13" x14ac:dyDescent="0.15">
      <c r="F353" s="2"/>
    </row>
    <row r="354" spans="6:6" ht="13" x14ac:dyDescent="0.15">
      <c r="F354" s="2"/>
    </row>
    <row r="355" spans="6:6" ht="13" x14ac:dyDescent="0.15">
      <c r="F355" s="2"/>
    </row>
    <row r="356" spans="6:6" ht="13" x14ac:dyDescent="0.15">
      <c r="F356" s="2"/>
    </row>
    <row r="357" spans="6:6" ht="13" x14ac:dyDescent="0.15">
      <c r="F357" s="2"/>
    </row>
    <row r="358" spans="6:6" ht="13" x14ac:dyDescent="0.15">
      <c r="F358" s="2"/>
    </row>
    <row r="359" spans="6:6" ht="13" x14ac:dyDescent="0.15">
      <c r="F359" s="2"/>
    </row>
    <row r="360" spans="6:6" ht="13" x14ac:dyDescent="0.15">
      <c r="F360" s="2"/>
    </row>
    <row r="361" spans="6:6" ht="13" x14ac:dyDescent="0.15">
      <c r="F361" s="2"/>
    </row>
    <row r="362" spans="6:6" ht="13" x14ac:dyDescent="0.15">
      <c r="F362" s="2"/>
    </row>
    <row r="363" spans="6:6" ht="13" x14ac:dyDescent="0.15">
      <c r="F363" s="2"/>
    </row>
    <row r="364" spans="6:6" ht="13" x14ac:dyDescent="0.15">
      <c r="F364" s="2"/>
    </row>
    <row r="365" spans="6:6" ht="13" x14ac:dyDescent="0.15">
      <c r="F365" s="2"/>
    </row>
    <row r="366" spans="6:6" ht="13" x14ac:dyDescent="0.15">
      <c r="F366" s="2"/>
    </row>
    <row r="367" spans="6:6" ht="13" x14ac:dyDescent="0.15">
      <c r="F367" s="2"/>
    </row>
    <row r="368" spans="6:6" ht="13" x14ac:dyDescent="0.15">
      <c r="F368" s="2"/>
    </row>
    <row r="369" spans="6:6" ht="13" x14ac:dyDescent="0.15">
      <c r="F369" s="2"/>
    </row>
    <row r="370" spans="6:6" ht="13" x14ac:dyDescent="0.15">
      <c r="F370" s="2"/>
    </row>
    <row r="371" spans="6:6" ht="13" x14ac:dyDescent="0.15">
      <c r="F371" s="2"/>
    </row>
    <row r="372" spans="6:6" ht="13" x14ac:dyDescent="0.15">
      <c r="F372" s="2"/>
    </row>
    <row r="373" spans="6:6" ht="13" x14ac:dyDescent="0.15">
      <c r="F373" s="2"/>
    </row>
    <row r="374" spans="6:6" ht="13" x14ac:dyDescent="0.15">
      <c r="F374" s="2"/>
    </row>
    <row r="375" spans="6:6" ht="13" x14ac:dyDescent="0.15">
      <c r="F375" s="2"/>
    </row>
    <row r="376" spans="6:6" ht="13" x14ac:dyDescent="0.15">
      <c r="F376" s="2"/>
    </row>
    <row r="377" spans="6:6" ht="13" x14ac:dyDescent="0.15">
      <c r="F377" s="2"/>
    </row>
    <row r="378" spans="6:6" ht="13" x14ac:dyDescent="0.15">
      <c r="F378" s="2"/>
    </row>
    <row r="379" spans="6:6" ht="13" x14ac:dyDescent="0.15">
      <c r="F379" s="2"/>
    </row>
    <row r="380" spans="6:6" ht="13" x14ac:dyDescent="0.15">
      <c r="F380" s="2"/>
    </row>
    <row r="381" spans="6:6" ht="13" x14ac:dyDescent="0.15">
      <c r="F381" s="2"/>
    </row>
    <row r="382" spans="6:6" ht="13" x14ac:dyDescent="0.15">
      <c r="F382" s="2"/>
    </row>
    <row r="383" spans="6:6" ht="13" x14ac:dyDescent="0.15">
      <c r="F383" s="2"/>
    </row>
    <row r="384" spans="6:6" ht="13" x14ac:dyDescent="0.15">
      <c r="F384" s="2"/>
    </row>
    <row r="385" spans="6:6" ht="13" x14ac:dyDescent="0.15">
      <c r="F385" s="2"/>
    </row>
    <row r="386" spans="6:6" ht="13" x14ac:dyDescent="0.15">
      <c r="F386" s="2"/>
    </row>
    <row r="387" spans="6:6" ht="13" x14ac:dyDescent="0.15">
      <c r="F387" s="2"/>
    </row>
    <row r="388" spans="6:6" ht="13" x14ac:dyDescent="0.15">
      <c r="F388" s="2"/>
    </row>
    <row r="389" spans="6:6" ht="13" x14ac:dyDescent="0.15">
      <c r="F389" s="2"/>
    </row>
    <row r="390" spans="6:6" ht="13" x14ac:dyDescent="0.15">
      <c r="F390" s="2"/>
    </row>
    <row r="391" spans="6:6" ht="13" x14ac:dyDescent="0.15">
      <c r="F391" s="2"/>
    </row>
    <row r="392" spans="6:6" ht="13" x14ac:dyDescent="0.15">
      <c r="F392" s="2"/>
    </row>
    <row r="393" spans="6:6" ht="13" x14ac:dyDescent="0.15">
      <c r="F393" s="2"/>
    </row>
    <row r="394" spans="6:6" ht="13" x14ac:dyDescent="0.15">
      <c r="F394" s="2"/>
    </row>
    <row r="395" spans="6:6" ht="13" x14ac:dyDescent="0.15">
      <c r="F395" s="2"/>
    </row>
    <row r="396" spans="6:6" ht="13" x14ac:dyDescent="0.15">
      <c r="F396" s="2"/>
    </row>
    <row r="397" spans="6:6" ht="13" x14ac:dyDescent="0.15">
      <c r="F397" s="2"/>
    </row>
    <row r="398" spans="6:6" ht="13" x14ac:dyDescent="0.15">
      <c r="F398" s="2"/>
    </row>
    <row r="399" spans="6:6" ht="13" x14ac:dyDescent="0.15">
      <c r="F399" s="2"/>
    </row>
    <row r="400" spans="6:6" ht="13" x14ac:dyDescent="0.15">
      <c r="F400" s="2"/>
    </row>
    <row r="401" spans="6:6" ht="13" x14ac:dyDescent="0.15">
      <c r="F401" s="2"/>
    </row>
    <row r="402" spans="6:6" ht="13" x14ac:dyDescent="0.15">
      <c r="F402" s="2"/>
    </row>
    <row r="403" spans="6:6" ht="13" x14ac:dyDescent="0.15">
      <c r="F403" s="2"/>
    </row>
    <row r="404" spans="6:6" ht="13" x14ac:dyDescent="0.15">
      <c r="F404" s="2"/>
    </row>
    <row r="405" spans="6:6" ht="13" x14ac:dyDescent="0.15">
      <c r="F405" s="2"/>
    </row>
    <row r="406" spans="6:6" ht="13" x14ac:dyDescent="0.15">
      <c r="F406" s="2"/>
    </row>
    <row r="407" spans="6:6" ht="13" x14ac:dyDescent="0.15">
      <c r="F407" s="2"/>
    </row>
    <row r="408" spans="6:6" ht="13" x14ac:dyDescent="0.15">
      <c r="F408" s="2"/>
    </row>
    <row r="409" spans="6:6" ht="13" x14ac:dyDescent="0.15">
      <c r="F409" s="2"/>
    </row>
    <row r="410" spans="6:6" ht="13" x14ac:dyDescent="0.15">
      <c r="F410" s="2"/>
    </row>
    <row r="411" spans="6:6" ht="13" x14ac:dyDescent="0.15">
      <c r="F411" s="2"/>
    </row>
    <row r="412" spans="6:6" ht="13" x14ac:dyDescent="0.15">
      <c r="F412" s="2"/>
    </row>
    <row r="413" spans="6:6" ht="13" x14ac:dyDescent="0.15">
      <c r="F413" s="2"/>
    </row>
    <row r="414" spans="6:6" ht="13" x14ac:dyDescent="0.15">
      <c r="F414" s="2"/>
    </row>
    <row r="415" spans="6:6" ht="13" x14ac:dyDescent="0.15">
      <c r="F415" s="2"/>
    </row>
    <row r="416" spans="6:6" ht="13" x14ac:dyDescent="0.15">
      <c r="F416" s="2"/>
    </row>
    <row r="417" spans="6:6" ht="13" x14ac:dyDescent="0.15">
      <c r="F417" s="2"/>
    </row>
    <row r="418" spans="6:6" ht="13" x14ac:dyDescent="0.15">
      <c r="F418" s="2"/>
    </row>
    <row r="419" spans="6:6" ht="13" x14ac:dyDescent="0.15">
      <c r="F419" s="2"/>
    </row>
    <row r="420" spans="6:6" ht="13" x14ac:dyDescent="0.15">
      <c r="F420" s="2"/>
    </row>
    <row r="421" spans="6:6" ht="13" x14ac:dyDescent="0.15">
      <c r="F421" s="2"/>
    </row>
    <row r="422" spans="6:6" ht="13" x14ac:dyDescent="0.15">
      <c r="F422" s="2"/>
    </row>
    <row r="423" spans="6:6" ht="13" x14ac:dyDescent="0.15">
      <c r="F423" s="2"/>
    </row>
    <row r="424" spans="6:6" ht="13" x14ac:dyDescent="0.15">
      <c r="F424" s="2"/>
    </row>
    <row r="425" spans="6:6" ht="13" x14ac:dyDescent="0.15">
      <c r="F425" s="2"/>
    </row>
    <row r="426" spans="6:6" ht="13" x14ac:dyDescent="0.15">
      <c r="F426" s="2"/>
    </row>
    <row r="427" spans="6:6" ht="13" x14ac:dyDescent="0.15">
      <c r="F427" s="2"/>
    </row>
    <row r="428" spans="6:6" ht="13" x14ac:dyDescent="0.15">
      <c r="F428" s="2"/>
    </row>
    <row r="429" spans="6:6" ht="13" x14ac:dyDescent="0.15">
      <c r="F429" s="2"/>
    </row>
    <row r="430" spans="6:6" ht="13" x14ac:dyDescent="0.15">
      <c r="F430" s="2"/>
    </row>
    <row r="431" spans="6:6" ht="13" x14ac:dyDescent="0.15">
      <c r="F431" s="2"/>
    </row>
    <row r="432" spans="6:6" ht="13" x14ac:dyDescent="0.15">
      <c r="F432" s="2"/>
    </row>
    <row r="433" spans="6:6" ht="13" x14ac:dyDescent="0.15">
      <c r="F433" s="2"/>
    </row>
    <row r="434" spans="6:6" ht="13" x14ac:dyDescent="0.15">
      <c r="F434" s="2"/>
    </row>
    <row r="435" spans="6:6" ht="13" x14ac:dyDescent="0.15">
      <c r="F435" s="2"/>
    </row>
    <row r="436" spans="6:6" ht="13" x14ac:dyDescent="0.15">
      <c r="F436" s="2"/>
    </row>
    <row r="437" spans="6:6" ht="13" x14ac:dyDescent="0.15">
      <c r="F437" s="2"/>
    </row>
    <row r="438" spans="6:6" ht="13" x14ac:dyDescent="0.15">
      <c r="F438" s="2"/>
    </row>
    <row r="439" spans="6:6" ht="13" x14ac:dyDescent="0.15">
      <c r="F439" s="2"/>
    </row>
    <row r="440" spans="6:6" ht="13" x14ac:dyDescent="0.15">
      <c r="F440" s="2"/>
    </row>
    <row r="441" spans="6:6" ht="13" x14ac:dyDescent="0.15">
      <c r="F441" s="2"/>
    </row>
    <row r="442" spans="6:6" ht="13" x14ac:dyDescent="0.15">
      <c r="F442" s="2"/>
    </row>
    <row r="443" spans="6:6" ht="13" x14ac:dyDescent="0.15">
      <c r="F443" s="2"/>
    </row>
    <row r="444" spans="6:6" ht="13" x14ac:dyDescent="0.15">
      <c r="F444" s="2"/>
    </row>
    <row r="445" spans="6:6" ht="13" x14ac:dyDescent="0.15">
      <c r="F445" s="2"/>
    </row>
    <row r="446" spans="6:6" ht="13" x14ac:dyDescent="0.15">
      <c r="F446" s="2"/>
    </row>
    <row r="447" spans="6:6" ht="13" x14ac:dyDescent="0.15">
      <c r="F447" s="2"/>
    </row>
    <row r="448" spans="6:6" ht="13" x14ac:dyDescent="0.15">
      <c r="F448" s="2"/>
    </row>
    <row r="449" spans="6:6" ht="13" x14ac:dyDescent="0.15">
      <c r="F449" s="2"/>
    </row>
    <row r="450" spans="6:6" ht="13" x14ac:dyDescent="0.15">
      <c r="F450" s="2"/>
    </row>
    <row r="451" spans="6:6" ht="13" x14ac:dyDescent="0.15">
      <c r="F451" s="2"/>
    </row>
    <row r="452" spans="6:6" ht="13" x14ac:dyDescent="0.15">
      <c r="F452" s="2"/>
    </row>
    <row r="453" spans="6:6" ht="13" x14ac:dyDescent="0.15">
      <c r="F453" s="2"/>
    </row>
    <row r="454" spans="6:6" ht="13" x14ac:dyDescent="0.15">
      <c r="F454" s="2"/>
    </row>
    <row r="455" spans="6:6" ht="13" x14ac:dyDescent="0.15">
      <c r="F455" s="2"/>
    </row>
    <row r="456" spans="6:6" ht="13" x14ac:dyDescent="0.15">
      <c r="F456" s="2"/>
    </row>
    <row r="457" spans="6:6" ht="13" x14ac:dyDescent="0.15">
      <c r="F457" s="2"/>
    </row>
    <row r="458" spans="6:6" ht="13" x14ac:dyDescent="0.15">
      <c r="F458" s="2"/>
    </row>
    <row r="459" spans="6:6" ht="13" x14ac:dyDescent="0.15">
      <c r="F459" s="2"/>
    </row>
    <row r="460" spans="6:6" ht="13" x14ac:dyDescent="0.15">
      <c r="F460" s="2"/>
    </row>
    <row r="461" spans="6:6" ht="13" x14ac:dyDescent="0.15">
      <c r="F461" s="2"/>
    </row>
    <row r="462" spans="6:6" ht="13" x14ac:dyDescent="0.15">
      <c r="F462" s="2"/>
    </row>
    <row r="463" spans="6:6" ht="13" x14ac:dyDescent="0.15">
      <c r="F463" s="2"/>
    </row>
    <row r="464" spans="6:6" ht="13" x14ac:dyDescent="0.15">
      <c r="F464" s="2"/>
    </row>
    <row r="465" spans="6:6" ht="13" x14ac:dyDescent="0.15">
      <c r="F465" s="2"/>
    </row>
    <row r="466" spans="6:6" ht="13" x14ac:dyDescent="0.15">
      <c r="F466" s="2"/>
    </row>
    <row r="467" spans="6:6" ht="13" x14ac:dyDescent="0.15">
      <c r="F467" s="2"/>
    </row>
    <row r="468" spans="6:6" ht="13" x14ac:dyDescent="0.15">
      <c r="F468" s="2"/>
    </row>
    <row r="469" spans="6:6" ht="13" x14ac:dyDescent="0.15">
      <c r="F469" s="2"/>
    </row>
    <row r="470" spans="6:6" ht="13" x14ac:dyDescent="0.15">
      <c r="F470" s="2"/>
    </row>
    <row r="471" spans="6:6" ht="13" x14ac:dyDescent="0.15">
      <c r="F471" s="2"/>
    </row>
    <row r="472" spans="6:6" ht="13" x14ac:dyDescent="0.15">
      <c r="F472" s="2"/>
    </row>
    <row r="473" spans="6:6" ht="13" x14ac:dyDescent="0.15">
      <c r="F473" s="2"/>
    </row>
    <row r="474" spans="6:6" ht="13" x14ac:dyDescent="0.15">
      <c r="F474" s="2"/>
    </row>
    <row r="475" spans="6:6" ht="13" x14ac:dyDescent="0.15">
      <c r="F475" s="2"/>
    </row>
    <row r="476" spans="6:6" ht="13" x14ac:dyDescent="0.15">
      <c r="F476" s="2"/>
    </row>
    <row r="477" spans="6:6" ht="13" x14ac:dyDescent="0.15">
      <c r="F477" s="2"/>
    </row>
    <row r="478" spans="6:6" ht="13" x14ac:dyDescent="0.15">
      <c r="F478" s="2"/>
    </row>
    <row r="479" spans="6:6" ht="13" x14ac:dyDescent="0.15">
      <c r="F479" s="2"/>
    </row>
    <row r="480" spans="6:6" ht="13" x14ac:dyDescent="0.15">
      <c r="F480" s="2"/>
    </row>
    <row r="481" spans="6:6" ht="13" x14ac:dyDescent="0.15">
      <c r="F481" s="2"/>
    </row>
    <row r="482" spans="6:6" ht="13" x14ac:dyDescent="0.15">
      <c r="F482" s="2"/>
    </row>
    <row r="483" spans="6:6" ht="13" x14ac:dyDescent="0.15">
      <c r="F483" s="2"/>
    </row>
    <row r="484" spans="6:6" ht="13" x14ac:dyDescent="0.15">
      <c r="F484" s="2"/>
    </row>
    <row r="485" spans="6:6" ht="13" x14ac:dyDescent="0.15">
      <c r="F485" s="2"/>
    </row>
    <row r="486" spans="6:6" ht="13" x14ac:dyDescent="0.15">
      <c r="F486" s="2"/>
    </row>
    <row r="487" spans="6:6" ht="13" x14ac:dyDescent="0.15">
      <c r="F487" s="2"/>
    </row>
    <row r="488" spans="6:6" ht="13" x14ac:dyDescent="0.15">
      <c r="F488" s="2"/>
    </row>
    <row r="489" spans="6:6" ht="13" x14ac:dyDescent="0.15">
      <c r="F489" s="2"/>
    </row>
    <row r="490" spans="6:6" ht="13" x14ac:dyDescent="0.15">
      <c r="F490" s="2"/>
    </row>
    <row r="491" spans="6:6" ht="13" x14ac:dyDescent="0.15">
      <c r="F491" s="2"/>
    </row>
    <row r="492" spans="6:6" ht="13" x14ac:dyDescent="0.15">
      <c r="F492" s="2"/>
    </row>
    <row r="493" spans="6:6" ht="13" x14ac:dyDescent="0.15">
      <c r="F493" s="2"/>
    </row>
    <row r="494" spans="6:6" ht="13" x14ac:dyDescent="0.15">
      <c r="F494" s="2"/>
    </row>
    <row r="495" spans="6:6" ht="13" x14ac:dyDescent="0.15">
      <c r="F495" s="2"/>
    </row>
    <row r="496" spans="6:6" ht="13" x14ac:dyDescent="0.15">
      <c r="F496" s="2"/>
    </row>
    <row r="497" spans="6:6" ht="13" x14ac:dyDescent="0.15">
      <c r="F497" s="2"/>
    </row>
    <row r="498" spans="6:6" ht="13" x14ac:dyDescent="0.15">
      <c r="F498" s="2"/>
    </row>
    <row r="499" spans="6:6" ht="13" x14ac:dyDescent="0.15">
      <c r="F499" s="2"/>
    </row>
    <row r="500" spans="6:6" ht="13" x14ac:dyDescent="0.15">
      <c r="F500" s="2"/>
    </row>
    <row r="501" spans="6:6" ht="13" x14ac:dyDescent="0.15">
      <c r="F501" s="2"/>
    </row>
    <row r="502" spans="6:6" ht="13" x14ac:dyDescent="0.15">
      <c r="F502" s="2"/>
    </row>
    <row r="503" spans="6:6" ht="13" x14ac:dyDescent="0.15">
      <c r="F503" s="2"/>
    </row>
    <row r="504" spans="6:6" ht="13" x14ac:dyDescent="0.15">
      <c r="F504" s="2"/>
    </row>
    <row r="505" spans="6:6" ht="13" x14ac:dyDescent="0.15">
      <c r="F505" s="2"/>
    </row>
    <row r="506" spans="6:6" ht="13" x14ac:dyDescent="0.15">
      <c r="F506" s="2"/>
    </row>
    <row r="507" spans="6:6" ht="13" x14ac:dyDescent="0.15">
      <c r="F507" s="2"/>
    </row>
    <row r="508" spans="6:6" ht="13" x14ac:dyDescent="0.15">
      <c r="F508" s="2"/>
    </row>
    <row r="509" spans="6:6" ht="13" x14ac:dyDescent="0.15">
      <c r="F509" s="2"/>
    </row>
    <row r="510" spans="6:6" ht="13" x14ac:dyDescent="0.15">
      <c r="F510" s="2"/>
    </row>
    <row r="511" spans="6:6" ht="13" x14ac:dyDescent="0.15">
      <c r="F511" s="2"/>
    </row>
    <row r="512" spans="6:6" ht="13" x14ac:dyDescent="0.15">
      <c r="F512" s="2"/>
    </row>
    <row r="513" spans="6:6" ht="13" x14ac:dyDescent="0.15">
      <c r="F513" s="2"/>
    </row>
    <row r="514" spans="6:6" ht="13" x14ac:dyDescent="0.15">
      <c r="F514" s="2"/>
    </row>
    <row r="515" spans="6:6" ht="13" x14ac:dyDescent="0.15">
      <c r="F515" s="2"/>
    </row>
    <row r="516" spans="6:6" ht="13" x14ac:dyDescent="0.15">
      <c r="F516" s="2"/>
    </row>
    <row r="517" spans="6:6" ht="13" x14ac:dyDescent="0.15">
      <c r="F517" s="2"/>
    </row>
    <row r="518" spans="6:6" ht="13" x14ac:dyDescent="0.15">
      <c r="F518" s="2"/>
    </row>
    <row r="519" spans="6:6" ht="13" x14ac:dyDescent="0.15">
      <c r="F519" s="2"/>
    </row>
    <row r="520" spans="6:6" ht="13" x14ac:dyDescent="0.15">
      <c r="F520" s="2"/>
    </row>
    <row r="521" spans="6:6" ht="13" x14ac:dyDescent="0.15">
      <c r="F521" s="2"/>
    </row>
    <row r="522" spans="6:6" ht="13" x14ac:dyDescent="0.15">
      <c r="F522" s="2"/>
    </row>
    <row r="523" spans="6:6" ht="13" x14ac:dyDescent="0.15">
      <c r="F523" s="2"/>
    </row>
    <row r="524" spans="6:6" ht="13" x14ac:dyDescent="0.15">
      <c r="F524" s="2"/>
    </row>
    <row r="525" spans="6:6" ht="13" x14ac:dyDescent="0.15">
      <c r="F525" s="2"/>
    </row>
    <row r="526" spans="6:6" ht="13" x14ac:dyDescent="0.15">
      <c r="F526" s="2"/>
    </row>
    <row r="527" spans="6:6" ht="13" x14ac:dyDescent="0.15">
      <c r="F527" s="2"/>
    </row>
    <row r="528" spans="6:6" ht="13" x14ac:dyDescent="0.15">
      <c r="F528" s="2"/>
    </row>
    <row r="529" spans="6:6" ht="13" x14ac:dyDescent="0.15">
      <c r="F529" s="2"/>
    </row>
    <row r="530" spans="6:6" ht="13" x14ac:dyDescent="0.15">
      <c r="F530" s="2"/>
    </row>
    <row r="531" spans="6:6" ht="13" x14ac:dyDescent="0.15">
      <c r="F531" s="2"/>
    </row>
    <row r="532" spans="6:6" ht="13" x14ac:dyDescent="0.15">
      <c r="F532" s="2"/>
    </row>
    <row r="533" spans="6:6" ht="13" x14ac:dyDescent="0.15">
      <c r="F533" s="2"/>
    </row>
    <row r="534" spans="6:6" ht="13" x14ac:dyDescent="0.15">
      <c r="F534" s="2"/>
    </row>
    <row r="535" spans="6:6" ht="13" x14ac:dyDescent="0.15">
      <c r="F535" s="2"/>
    </row>
    <row r="536" spans="6:6" ht="13" x14ac:dyDescent="0.15">
      <c r="F536" s="2"/>
    </row>
    <row r="537" spans="6:6" ht="13" x14ac:dyDescent="0.15">
      <c r="F537" s="2"/>
    </row>
    <row r="538" spans="6:6" ht="13" x14ac:dyDescent="0.15">
      <c r="F538" s="2"/>
    </row>
    <row r="539" spans="6:6" ht="13" x14ac:dyDescent="0.15">
      <c r="F539" s="2"/>
    </row>
    <row r="540" spans="6:6" ht="13" x14ac:dyDescent="0.15">
      <c r="F540" s="2"/>
    </row>
    <row r="541" spans="6:6" ht="13" x14ac:dyDescent="0.15">
      <c r="F541" s="2"/>
    </row>
    <row r="542" spans="6:6" ht="13" x14ac:dyDescent="0.15">
      <c r="F542" s="2"/>
    </row>
    <row r="543" spans="6:6" ht="13" x14ac:dyDescent="0.15">
      <c r="F543" s="2"/>
    </row>
    <row r="544" spans="6:6" ht="13" x14ac:dyDescent="0.15">
      <c r="F544" s="2"/>
    </row>
    <row r="545" spans="6:6" ht="13" x14ac:dyDescent="0.15">
      <c r="F545" s="2"/>
    </row>
    <row r="546" spans="6:6" ht="13" x14ac:dyDescent="0.15">
      <c r="F546" s="2"/>
    </row>
    <row r="547" spans="6:6" ht="13" x14ac:dyDescent="0.15">
      <c r="F547" s="2"/>
    </row>
    <row r="548" spans="6:6" ht="13" x14ac:dyDescent="0.15">
      <c r="F548" s="2"/>
    </row>
    <row r="549" spans="6:6" ht="13" x14ac:dyDescent="0.15">
      <c r="F549" s="2"/>
    </row>
    <row r="550" spans="6:6" ht="13" x14ac:dyDescent="0.15">
      <c r="F550" s="2"/>
    </row>
    <row r="551" spans="6:6" ht="13" x14ac:dyDescent="0.15">
      <c r="F551" s="2"/>
    </row>
    <row r="552" spans="6:6" ht="13" x14ac:dyDescent="0.15">
      <c r="F552" s="2"/>
    </row>
    <row r="553" spans="6:6" ht="13" x14ac:dyDescent="0.15">
      <c r="F553" s="2"/>
    </row>
    <row r="554" spans="6:6" ht="13" x14ac:dyDescent="0.15">
      <c r="F554" s="2"/>
    </row>
    <row r="555" spans="6:6" ht="13" x14ac:dyDescent="0.15">
      <c r="F555" s="2"/>
    </row>
    <row r="556" spans="6:6" ht="13" x14ac:dyDescent="0.15">
      <c r="F556" s="2"/>
    </row>
    <row r="557" spans="6:6" ht="13" x14ac:dyDescent="0.15">
      <c r="F557" s="2"/>
    </row>
    <row r="558" spans="6:6" ht="13" x14ac:dyDescent="0.15">
      <c r="F558" s="2"/>
    </row>
    <row r="559" spans="6:6" ht="13" x14ac:dyDescent="0.15">
      <c r="F559" s="2"/>
    </row>
    <row r="560" spans="6:6" ht="13" x14ac:dyDescent="0.15">
      <c r="F560" s="2"/>
    </row>
    <row r="561" spans="6:6" ht="13" x14ac:dyDescent="0.15">
      <c r="F561" s="2"/>
    </row>
    <row r="562" spans="6:6" ht="13" x14ac:dyDescent="0.15">
      <c r="F562" s="2"/>
    </row>
    <row r="563" spans="6:6" ht="13" x14ac:dyDescent="0.15">
      <c r="F563" s="2"/>
    </row>
    <row r="564" spans="6:6" ht="13" x14ac:dyDescent="0.15">
      <c r="F564" s="2"/>
    </row>
    <row r="565" spans="6:6" ht="13" x14ac:dyDescent="0.15">
      <c r="F565" s="2"/>
    </row>
    <row r="566" spans="6:6" ht="13" x14ac:dyDescent="0.15">
      <c r="F566" s="2"/>
    </row>
    <row r="567" spans="6:6" ht="13" x14ac:dyDescent="0.15">
      <c r="F567" s="2"/>
    </row>
    <row r="568" spans="6:6" ht="13" x14ac:dyDescent="0.15">
      <c r="F568" s="2"/>
    </row>
    <row r="569" spans="6:6" ht="13" x14ac:dyDescent="0.15">
      <c r="F569" s="2"/>
    </row>
    <row r="570" spans="6:6" ht="13" x14ac:dyDescent="0.15">
      <c r="F570" s="2"/>
    </row>
    <row r="571" spans="6:6" ht="13" x14ac:dyDescent="0.15">
      <c r="F571" s="2"/>
    </row>
    <row r="572" spans="6:6" ht="13" x14ac:dyDescent="0.15">
      <c r="F572" s="2"/>
    </row>
    <row r="573" spans="6:6" ht="13" x14ac:dyDescent="0.15">
      <c r="F573" s="2"/>
    </row>
    <row r="574" spans="6:6" ht="13" x14ac:dyDescent="0.15">
      <c r="F574" s="2"/>
    </row>
    <row r="575" spans="6:6" ht="13" x14ac:dyDescent="0.15">
      <c r="F575" s="2"/>
    </row>
    <row r="576" spans="6:6" ht="13" x14ac:dyDescent="0.15">
      <c r="F576" s="2"/>
    </row>
    <row r="577" spans="6:6" ht="13" x14ac:dyDescent="0.15">
      <c r="F577" s="2"/>
    </row>
    <row r="578" spans="6:6" ht="13" x14ac:dyDescent="0.15">
      <c r="F578" s="2"/>
    </row>
    <row r="579" spans="6:6" ht="13" x14ac:dyDescent="0.15">
      <c r="F579" s="2"/>
    </row>
    <row r="580" spans="6:6" ht="13" x14ac:dyDescent="0.15">
      <c r="F580" s="2"/>
    </row>
    <row r="581" spans="6:6" ht="13" x14ac:dyDescent="0.15">
      <c r="F581" s="2"/>
    </row>
    <row r="582" spans="6:6" ht="13" x14ac:dyDescent="0.15">
      <c r="F582" s="2"/>
    </row>
    <row r="583" spans="6:6" ht="13" x14ac:dyDescent="0.15">
      <c r="F583" s="2"/>
    </row>
    <row r="584" spans="6:6" ht="13" x14ac:dyDescent="0.15">
      <c r="F584" s="2"/>
    </row>
    <row r="585" spans="6:6" ht="13" x14ac:dyDescent="0.15">
      <c r="F585" s="2"/>
    </row>
    <row r="586" spans="6:6" ht="13" x14ac:dyDescent="0.15">
      <c r="F586" s="2"/>
    </row>
    <row r="587" spans="6:6" ht="13" x14ac:dyDescent="0.15">
      <c r="F587" s="2"/>
    </row>
    <row r="588" spans="6:6" ht="13" x14ac:dyDescent="0.15">
      <c r="F588" s="2"/>
    </row>
    <row r="589" spans="6:6" ht="13" x14ac:dyDescent="0.15">
      <c r="F589" s="2"/>
    </row>
    <row r="590" spans="6:6" ht="13" x14ac:dyDescent="0.15">
      <c r="F590" s="2"/>
    </row>
    <row r="591" spans="6:6" ht="13" x14ac:dyDescent="0.15">
      <c r="F591" s="2"/>
    </row>
    <row r="592" spans="6:6" ht="13" x14ac:dyDescent="0.15">
      <c r="F592" s="2"/>
    </row>
    <row r="593" spans="6:6" ht="13" x14ac:dyDescent="0.15">
      <c r="F593" s="2"/>
    </row>
    <row r="594" spans="6:6" ht="13" x14ac:dyDescent="0.15">
      <c r="F594" s="2"/>
    </row>
    <row r="595" spans="6:6" ht="13" x14ac:dyDescent="0.15">
      <c r="F595" s="2"/>
    </row>
    <row r="596" spans="6:6" ht="13" x14ac:dyDescent="0.15">
      <c r="F596" s="2"/>
    </row>
    <row r="597" spans="6:6" ht="13" x14ac:dyDescent="0.15">
      <c r="F597" s="2"/>
    </row>
    <row r="598" spans="6:6" ht="13" x14ac:dyDescent="0.15">
      <c r="F598" s="2"/>
    </row>
    <row r="599" spans="6:6" ht="13" x14ac:dyDescent="0.15">
      <c r="F599" s="2"/>
    </row>
    <row r="600" spans="6:6" ht="13" x14ac:dyDescent="0.15">
      <c r="F600" s="2"/>
    </row>
    <row r="601" spans="6:6" ht="13" x14ac:dyDescent="0.15">
      <c r="F601" s="2"/>
    </row>
    <row r="602" spans="6:6" ht="13" x14ac:dyDescent="0.15">
      <c r="F602" s="2"/>
    </row>
    <row r="603" spans="6:6" ht="13" x14ac:dyDescent="0.15">
      <c r="F603" s="2"/>
    </row>
    <row r="604" spans="6:6" ht="13" x14ac:dyDescent="0.15">
      <c r="F604" s="2"/>
    </row>
    <row r="605" spans="6:6" ht="13" x14ac:dyDescent="0.15">
      <c r="F605" s="2"/>
    </row>
    <row r="606" spans="6:6" ht="13" x14ac:dyDescent="0.15">
      <c r="F606" s="2"/>
    </row>
    <row r="607" spans="6:6" ht="13" x14ac:dyDescent="0.15">
      <c r="F607" s="2"/>
    </row>
    <row r="608" spans="6:6" ht="13" x14ac:dyDescent="0.15">
      <c r="F608" s="2"/>
    </row>
    <row r="609" spans="6:6" ht="13" x14ac:dyDescent="0.15">
      <c r="F609" s="2"/>
    </row>
    <row r="610" spans="6:6" ht="13" x14ac:dyDescent="0.15">
      <c r="F610" s="2"/>
    </row>
    <row r="611" spans="6:6" ht="13" x14ac:dyDescent="0.15">
      <c r="F611" s="2"/>
    </row>
    <row r="612" spans="6:6" ht="13" x14ac:dyDescent="0.15">
      <c r="F612" s="2"/>
    </row>
    <row r="613" spans="6:6" ht="13" x14ac:dyDescent="0.15">
      <c r="F613" s="2"/>
    </row>
    <row r="614" spans="6:6" ht="13" x14ac:dyDescent="0.15">
      <c r="F614" s="2"/>
    </row>
    <row r="615" spans="6:6" ht="13" x14ac:dyDescent="0.15">
      <c r="F615" s="2"/>
    </row>
    <row r="616" spans="6:6" ht="13" x14ac:dyDescent="0.15">
      <c r="F616" s="2"/>
    </row>
    <row r="617" spans="6:6" ht="13" x14ac:dyDescent="0.15">
      <c r="F617" s="2"/>
    </row>
    <row r="618" spans="6:6" ht="13" x14ac:dyDescent="0.15">
      <c r="F618" s="2"/>
    </row>
    <row r="619" spans="6:6" ht="13" x14ac:dyDescent="0.15">
      <c r="F619" s="2"/>
    </row>
    <row r="620" spans="6:6" ht="13" x14ac:dyDescent="0.15">
      <c r="F620" s="2"/>
    </row>
    <row r="621" spans="6:6" ht="13" x14ac:dyDescent="0.15">
      <c r="F621" s="2"/>
    </row>
    <row r="622" spans="6:6" ht="13" x14ac:dyDescent="0.15">
      <c r="F622" s="2"/>
    </row>
    <row r="623" spans="6:6" ht="13" x14ac:dyDescent="0.15">
      <c r="F623" s="2"/>
    </row>
    <row r="624" spans="6:6" ht="13" x14ac:dyDescent="0.15">
      <c r="F624" s="2"/>
    </row>
    <row r="625" spans="6:6" ht="13" x14ac:dyDescent="0.15">
      <c r="F625" s="2"/>
    </row>
    <row r="626" spans="6:6" ht="13" x14ac:dyDescent="0.15">
      <c r="F626" s="2"/>
    </row>
    <row r="627" spans="6:6" ht="13" x14ac:dyDescent="0.15">
      <c r="F627" s="2"/>
    </row>
    <row r="628" spans="6:6" ht="13" x14ac:dyDescent="0.15">
      <c r="F628" s="2"/>
    </row>
    <row r="629" spans="6:6" ht="13" x14ac:dyDescent="0.15">
      <c r="F629" s="2"/>
    </row>
    <row r="630" spans="6:6" ht="13" x14ac:dyDescent="0.15">
      <c r="F630" s="2"/>
    </row>
    <row r="631" spans="6:6" ht="13" x14ac:dyDescent="0.15">
      <c r="F631" s="2"/>
    </row>
    <row r="632" spans="6:6" ht="13" x14ac:dyDescent="0.15">
      <c r="F632" s="2"/>
    </row>
    <row r="633" spans="6:6" ht="13" x14ac:dyDescent="0.15">
      <c r="F633" s="2"/>
    </row>
    <row r="634" spans="6:6" ht="13" x14ac:dyDescent="0.15">
      <c r="F634" s="2"/>
    </row>
    <row r="635" spans="6:6" ht="13" x14ac:dyDescent="0.15">
      <c r="F635" s="2"/>
    </row>
    <row r="636" spans="6:6" ht="13" x14ac:dyDescent="0.15">
      <c r="F636" s="2"/>
    </row>
    <row r="637" spans="6:6" ht="13" x14ac:dyDescent="0.15">
      <c r="F637" s="2"/>
    </row>
    <row r="638" spans="6:6" ht="13" x14ac:dyDescent="0.15">
      <c r="F638" s="2"/>
    </row>
    <row r="639" spans="6:6" ht="13" x14ac:dyDescent="0.15">
      <c r="F639" s="2"/>
    </row>
    <row r="640" spans="6:6" ht="13" x14ac:dyDescent="0.15">
      <c r="F640" s="2"/>
    </row>
    <row r="641" spans="6:6" ht="13" x14ac:dyDescent="0.15">
      <c r="F641" s="2"/>
    </row>
    <row r="642" spans="6:6" ht="13" x14ac:dyDescent="0.15">
      <c r="F642" s="2"/>
    </row>
    <row r="643" spans="6:6" ht="13" x14ac:dyDescent="0.15">
      <c r="F643" s="2"/>
    </row>
    <row r="644" spans="6:6" ht="13" x14ac:dyDescent="0.15">
      <c r="F644" s="2"/>
    </row>
    <row r="645" spans="6:6" ht="13" x14ac:dyDescent="0.15">
      <c r="F645" s="2"/>
    </row>
    <row r="646" spans="6:6" ht="13" x14ac:dyDescent="0.15">
      <c r="F646" s="2"/>
    </row>
    <row r="647" spans="6:6" ht="13" x14ac:dyDescent="0.15">
      <c r="F647" s="2"/>
    </row>
    <row r="648" spans="6:6" ht="13" x14ac:dyDescent="0.15">
      <c r="F648" s="2"/>
    </row>
    <row r="649" spans="6:6" ht="13" x14ac:dyDescent="0.15">
      <c r="F649" s="2"/>
    </row>
    <row r="650" spans="6:6" ht="13" x14ac:dyDescent="0.15">
      <c r="F650" s="2"/>
    </row>
    <row r="651" spans="6:6" ht="13" x14ac:dyDescent="0.15">
      <c r="F651" s="2"/>
    </row>
    <row r="652" spans="6:6" ht="13" x14ac:dyDescent="0.15">
      <c r="F652" s="2"/>
    </row>
    <row r="653" spans="6:6" ht="13" x14ac:dyDescent="0.15">
      <c r="F653" s="2"/>
    </row>
    <row r="654" spans="6:6" ht="13" x14ac:dyDescent="0.15">
      <c r="F654" s="2"/>
    </row>
    <row r="655" spans="6:6" ht="13" x14ac:dyDescent="0.15">
      <c r="F655" s="2"/>
    </row>
    <row r="656" spans="6:6" ht="13" x14ac:dyDescent="0.15">
      <c r="F656" s="2"/>
    </row>
    <row r="657" spans="6:6" ht="13" x14ac:dyDescent="0.15">
      <c r="F657" s="2"/>
    </row>
    <row r="658" spans="6:6" ht="13" x14ac:dyDescent="0.15">
      <c r="F658" s="2"/>
    </row>
    <row r="659" spans="6:6" ht="13" x14ac:dyDescent="0.15">
      <c r="F659" s="2"/>
    </row>
    <row r="660" spans="6:6" ht="13" x14ac:dyDescent="0.15">
      <c r="F660" s="2"/>
    </row>
    <row r="661" spans="6:6" ht="13" x14ac:dyDescent="0.15">
      <c r="F661" s="2"/>
    </row>
    <row r="662" spans="6:6" ht="13" x14ac:dyDescent="0.15">
      <c r="F662" s="2"/>
    </row>
    <row r="663" spans="6:6" ht="13" x14ac:dyDescent="0.15">
      <c r="F663" s="2"/>
    </row>
    <row r="664" spans="6:6" ht="13" x14ac:dyDescent="0.15">
      <c r="F664" s="2"/>
    </row>
    <row r="665" spans="6:6" ht="13" x14ac:dyDescent="0.15">
      <c r="F665" s="2"/>
    </row>
    <row r="666" spans="6:6" ht="13" x14ac:dyDescent="0.15">
      <c r="F666" s="2"/>
    </row>
    <row r="667" spans="6:6" ht="13" x14ac:dyDescent="0.15">
      <c r="F667" s="2"/>
    </row>
    <row r="668" spans="6:6" ht="13" x14ac:dyDescent="0.15">
      <c r="F668" s="2"/>
    </row>
    <row r="669" spans="6:6" ht="13" x14ac:dyDescent="0.15">
      <c r="F669" s="2"/>
    </row>
    <row r="670" spans="6:6" ht="13" x14ac:dyDescent="0.15">
      <c r="F670" s="2"/>
    </row>
    <row r="671" spans="6:6" ht="13" x14ac:dyDescent="0.15">
      <c r="F671" s="2"/>
    </row>
    <row r="672" spans="6:6" ht="13" x14ac:dyDescent="0.15">
      <c r="F672" s="2"/>
    </row>
    <row r="673" spans="6:6" ht="13" x14ac:dyDescent="0.15">
      <c r="F673" s="2"/>
    </row>
    <row r="674" spans="6:6" ht="13" x14ac:dyDescent="0.15">
      <c r="F674" s="2"/>
    </row>
    <row r="675" spans="6:6" ht="13" x14ac:dyDescent="0.15">
      <c r="F675" s="2"/>
    </row>
    <row r="676" spans="6:6" ht="13" x14ac:dyDescent="0.15">
      <c r="F676" s="2"/>
    </row>
    <row r="677" spans="6:6" ht="13" x14ac:dyDescent="0.15">
      <c r="F677" s="2"/>
    </row>
    <row r="678" spans="6:6" ht="13" x14ac:dyDescent="0.15">
      <c r="F678" s="2"/>
    </row>
    <row r="679" spans="6:6" ht="13" x14ac:dyDescent="0.15">
      <c r="F679" s="2"/>
    </row>
    <row r="680" spans="6:6" ht="13" x14ac:dyDescent="0.15">
      <c r="F680" s="2"/>
    </row>
    <row r="681" spans="6:6" ht="13" x14ac:dyDescent="0.15">
      <c r="F681" s="2"/>
    </row>
    <row r="682" spans="6:6" ht="13" x14ac:dyDescent="0.15">
      <c r="F682" s="2"/>
    </row>
    <row r="683" spans="6:6" ht="13" x14ac:dyDescent="0.15">
      <c r="F683" s="2"/>
    </row>
    <row r="684" spans="6:6" ht="13" x14ac:dyDescent="0.15">
      <c r="F684" s="2"/>
    </row>
    <row r="685" spans="6:6" ht="13" x14ac:dyDescent="0.15">
      <c r="F685" s="2"/>
    </row>
    <row r="686" spans="6:6" ht="13" x14ac:dyDescent="0.15">
      <c r="F686" s="2"/>
    </row>
    <row r="687" spans="6:6" ht="13" x14ac:dyDescent="0.15">
      <c r="F687" s="2"/>
    </row>
    <row r="688" spans="6:6" ht="13" x14ac:dyDescent="0.15">
      <c r="F688" s="2"/>
    </row>
    <row r="689" spans="6:6" ht="13" x14ac:dyDescent="0.15">
      <c r="F689" s="2"/>
    </row>
    <row r="690" spans="6:6" ht="13" x14ac:dyDescent="0.15">
      <c r="F690" s="2"/>
    </row>
    <row r="691" spans="6:6" ht="13" x14ac:dyDescent="0.15">
      <c r="F691" s="2"/>
    </row>
    <row r="692" spans="6:6" ht="13" x14ac:dyDescent="0.15">
      <c r="F692" s="2"/>
    </row>
    <row r="693" spans="6:6" ht="13" x14ac:dyDescent="0.15">
      <c r="F693" s="2"/>
    </row>
    <row r="694" spans="6:6" ht="13" x14ac:dyDescent="0.15">
      <c r="F694" s="2"/>
    </row>
    <row r="695" spans="6:6" ht="13" x14ac:dyDescent="0.15">
      <c r="F695" s="2"/>
    </row>
    <row r="696" spans="6:6" ht="13" x14ac:dyDescent="0.15">
      <c r="F696" s="2"/>
    </row>
    <row r="697" spans="6:6" ht="13" x14ac:dyDescent="0.15">
      <c r="F697" s="2"/>
    </row>
    <row r="698" spans="6:6" ht="13" x14ac:dyDescent="0.15">
      <c r="F698" s="2"/>
    </row>
    <row r="699" spans="6:6" ht="13" x14ac:dyDescent="0.15">
      <c r="F699" s="2"/>
    </row>
    <row r="700" spans="6:6" ht="13" x14ac:dyDescent="0.15">
      <c r="F700" s="2"/>
    </row>
    <row r="701" spans="6:6" ht="13" x14ac:dyDescent="0.15">
      <c r="F701" s="2"/>
    </row>
    <row r="702" spans="6:6" ht="13" x14ac:dyDescent="0.15">
      <c r="F702" s="2"/>
    </row>
    <row r="703" spans="6:6" ht="13" x14ac:dyDescent="0.15">
      <c r="F703" s="2"/>
    </row>
    <row r="704" spans="6:6" ht="13" x14ac:dyDescent="0.15">
      <c r="F704" s="2"/>
    </row>
    <row r="705" spans="6:6" ht="13" x14ac:dyDescent="0.15">
      <c r="F705" s="2"/>
    </row>
    <row r="706" spans="6:6" ht="13" x14ac:dyDescent="0.15">
      <c r="F706" s="2"/>
    </row>
    <row r="707" spans="6:6" ht="13" x14ac:dyDescent="0.15">
      <c r="F707" s="2"/>
    </row>
    <row r="708" spans="6:6" ht="13" x14ac:dyDescent="0.15">
      <c r="F708" s="2"/>
    </row>
    <row r="709" spans="6:6" ht="13" x14ac:dyDescent="0.15">
      <c r="F709" s="2"/>
    </row>
    <row r="710" spans="6:6" ht="13" x14ac:dyDescent="0.15">
      <c r="F710" s="2"/>
    </row>
    <row r="711" spans="6:6" ht="13" x14ac:dyDescent="0.15">
      <c r="F711" s="2"/>
    </row>
    <row r="712" spans="6:6" ht="13" x14ac:dyDescent="0.15">
      <c r="F712" s="2"/>
    </row>
    <row r="713" spans="6:6" ht="13" x14ac:dyDescent="0.15">
      <c r="F713" s="2"/>
    </row>
    <row r="714" spans="6:6" ht="13" x14ac:dyDescent="0.15">
      <c r="F714" s="2"/>
    </row>
    <row r="715" spans="6:6" ht="13" x14ac:dyDescent="0.15">
      <c r="F715" s="2"/>
    </row>
    <row r="716" spans="6:6" ht="13" x14ac:dyDescent="0.15">
      <c r="F716" s="2"/>
    </row>
    <row r="717" spans="6:6" ht="13" x14ac:dyDescent="0.15">
      <c r="F717" s="2"/>
    </row>
    <row r="718" spans="6:6" ht="13" x14ac:dyDescent="0.15">
      <c r="F718" s="2"/>
    </row>
    <row r="719" spans="6:6" ht="13" x14ac:dyDescent="0.15">
      <c r="F719" s="2"/>
    </row>
    <row r="720" spans="6:6" ht="13" x14ac:dyDescent="0.15">
      <c r="F720" s="2"/>
    </row>
    <row r="721" spans="6:6" ht="13" x14ac:dyDescent="0.15">
      <c r="F721" s="2"/>
    </row>
    <row r="722" spans="6:6" ht="13" x14ac:dyDescent="0.15">
      <c r="F722" s="2"/>
    </row>
    <row r="723" spans="6:6" ht="13" x14ac:dyDescent="0.15">
      <c r="F723" s="2"/>
    </row>
    <row r="724" spans="6:6" ht="13" x14ac:dyDescent="0.15">
      <c r="F724" s="2"/>
    </row>
    <row r="725" spans="6:6" ht="13" x14ac:dyDescent="0.15">
      <c r="F725" s="2"/>
    </row>
    <row r="726" spans="6:6" ht="13" x14ac:dyDescent="0.15">
      <c r="F726" s="2"/>
    </row>
    <row r="727" spans="6:6" ht="13" x14ac:dyDescent="0.15">
      <c r="F727" s="2"/>
    </row>
    <row r="728" spans="6:6" ht="13" x14ac:dyDescent="0.15">
      <c r="F728" s="2"/>
    </row>
    <row r="729" spans="6:6" ht="13" x14ac:dyDescent="0.15">
      <c r="F729" s="2"/>
    </row>
    <row r="730" spans="6:6" ht="13" x14ac:dyDescent="0.15">
      <c r="F730" s="2"/>
    </row>
    <row r="731" spans="6:6" ht="13" x14ac:dyDescent="0.15">
      <c r="F731" s="2"/>
    </row>
    <row r="732" spans="6:6" ht="13" x14ac:dyDescent="0.15">
      <c r="F732" s="2"/>
    </row>
    <row r="733" spans="6:6" ht="13" x14ac:dyDescent="0.15">
      <c r="F733" s="2"/>
    </row>
    <row r="734" spans="6:6" ht="13" x14ac:dyDescent="0.15">
      <c r="F734" s="2"/>
    </row>
    <row r="735" spans="6:6" ht="13" x14ac:dyDescent="0.15">
      <c r="F735" s="2"/>
    </row>
    <row r="736" spans="6:6" ht="13" x14ac:dyDescent="0.15">
      <c r="F736" s="2"/>
    </row>
    <row r="737" spans="6:6" ht="13" x14ac:dyDescent="0.15">
      <c r="F737" s="2"/>
    </row>
    <row r="738" spans="6:6" ht="13" x14ac:dyDescent="0.15">
      <c r="F738" s="2"/>
    </row>
    <row r="739" spans="6:6" ht="13" x14ac:dyDescent="0.15">
      <c r="F739" s="2"/>
    </row>
    <row r="740" spans="6:6" ht="13" x14ac:dyDescent="0.15">
      <c r="F740" s="2"/>
    </row>
    <row r="741" spans="6:6" ht="13" x14ac:dyDescent="0.15">
      <c r="F741" s="2"/>
    </row>
    <row r="742" spans="6:6" ht="13" x14ac:dyDescent="0.15">
      <c r="F742" s="2"/>
    </row>
    <row r="743" spans="6:6" ht="13" x14ac:dyDescent="0.15">
      <c r="F743" s="2"/>
    </row>
    <row r="744" spans="6:6" ht="13" x14ac:dyDescent="0.15">
      <c r="F744" s="2"/>
    </row>
    <row r="745" spans="6:6" ht="13" x14ac:dyDescent="0.15">
      <c r="F745" s="2"/>
    </row>
    <row r="746" spans="6:6" ht="13" x14ac:dyDescent="0.15">
      <c r="F746" s="2"/>
    </row>
    <row r="747" spans="6:6" ht="13" x14ac:dyDescent="0.15">
      <c r="F747" s="2"/>
    </row>
    <row r="748" spans="6:6" ht="13" x14ac:dyDescent="0.15">
      <c r="F748" s="2"/>
    </row>
    <row r="749" spans="6:6" ht="13" x14ac:dyDescent="0.15">
      <c r="F749" s="2"/>
    </row>
    <row r="750" spans="6:6" ht="13" x14ac:dyDescent="0.15">
      <c r="F750" s="2"/>
    </row>
    <row r="751" spans="6:6" ht="13" x14ac:dyDescent="0.15">
      <c r="F751" s="2"/>
    </row>
    <row r="752" spans="6:6" ht="13" x14ac:dyDescent="0.15">
      <c r="F752" s="2"/>
    </row>
    <row r="753" spans="6:6" ht="13" x14ac:dyDescent="0.15">
      <c r="F753" s="2"/>
    </row>
    <row r="754" spans="6:6" ht="13" x14ac:dyDescent="0.15">
      <c r="F754" s="2"/>
    </row>
    <row r="755" spans="6:6" ht="13" x14ac:dyDescent="0.15">
      <c r="F755" s="2"/>
    </row>
    <row r="756" spans="6:6" ht="13" x14ac:dyDescent="0.15">
      <c r="F756" s="2"/>
    </row>
    <row r="757" spans="6:6" ht="13" x14ac:dyDescent="0.15">
      <c r="F757" s="2"/>
    </row>
    <row r="758" spans="6:6" ht="13" x14ac:dyDescent="0.15">
      <c r="F758" s="2"/>
    </row>
    <row r="759" spans="6:6" ht="13" x14ac:dyDescent="0.15">
      <c r="F759" s="2"/>
    </row>
    <row r="760" spans="6:6" ht="13" x14ac:dyDescent="0.15">
      <c r="F760" s="2"/>
    </row>
    <row r="761" spans="6:6" ht="13" x14ac:dyDescent="0.15">
      <c r="F761" s="2"/>
    </row>
    <row r="762" spans="6:6" ht="13" x14ac:dyDescent="0.15">
      <c r="F762" s="2"/>
    </row>
    <row r="763" spans="6:6" ht="13" x14ac:dyDescent="0.15">
      <c r="F763" s="2"/>
    </row>
    <row r="764" spans="6:6" ht="13" x14ac:dyDescent="0.15">
      <c r="F764" s="2"/>
    </row>
    <row r="765" spans="6:6" ht="13" x14ac:dyDescent="0.15">
      <c r="F765" s="2"/>
    </row>
    <row r="766" spans="6:6" ht="13" x14ac:dyDescent="0.15">
      <c r="F766" s="2"/>
    </row>
    <row r="767" spans="6:6" ht="13" x14ac:dyDescent="0.15">
      <c r="F767" s="2"/>
    </row>
    <row r="768" spans="6:6" ht="13" x14ac:dyDescent="0.15">
      <c r="F768" s="2"/>
    </row>
    <row r="769" spans="6:6" ht="13" x14ac:dyDescent="0.15">
      <c r="F769" s="2"/>
    </row>
    <row r="770" spans="6:6" ht="13" x14ac:dyDescent="0.15">
      <c r="F770" s="2"/>
    </row>
    <row r="771" spans="6:6" ht="13" x14ac:dyDescent="0.15">
      <c r="F771" s="2"/>
    </row>
    <row r="772" spans="6:6" ht="13" x14ac:dyDescent="0.15">
      <c r="F772" s="2"/>
    </row>
    <row r="773" spans="6:6" ht="13" x14ac:dyDescent="0.15">
      <c r="F773" s="2"/>
    </row>
    <row r="774" spans="6:6" ht="13" x14ac:dyDescent="0.15">
      <c r="F774" s="2"/>
    </row>
    <row r="775" spans="6:6" ht="13" x14ac:dyDescent="0.15">
      <c r="F775" s="2"/>
    </row>
    <row r="776" spans="6:6" ht="13" x14ac:dyDescent="0.15">
      <c r="F776" s="2"/>
    </row>
    <row r="777" spans="6:6" ht="13" x14ac:dyDescent="0.15">
      <c r="F777" s="2"/>
    </row>
    <row r="778" spans="6:6" ht="13" x14ac:dyDescent="0.15">
      <c r="F778" s="2"/>
    </row>
    <row r="779" spans="6:6" ht="13" x14ac:dyDescent="0.15">
      <c r="F779" s="2"/>
    </row>
    <row r="780" spans="6:6" ht="13" x14ac:dyDescent="0.15">
      <c r="F780" s="2"/>
    </row>
    <row r="781" spans="6:6" ht="13" x14ac:dyDescent="0.15">
      <c r="F781" s="2"/>
    </row>
    <row r="782" spans="6:6" ht="13" x14ac:dyDescent="0.15">
      <c r="F782" s="2"/>
    </row>
    <row r="783" spans="6:6" ht="13" x14ac:dyDescent="0.15">
      <c r="F783" s="2"/>
    </row>
    <row r="784" spans="6:6" ht="13" x14ac:dyDescent="0.15">
      <c r="F784" s="2"/>
    </row>
    <row r="785" spans="6:6" ht="13" x14ac:dyDescent="0.15">
      <c r="F785" s="2"/>
    </row>
    <row r="786" spans="6:6" ht="13" x14ac:dyDescent="0.15">
      <c r="F786" s="2"/>
    </row>
    <row r="787" spans="6:6" ht="13" x14ac:dyDescent="0.15">
      <c r="F787" s="2"/>
    </row>
    <row r="788" spans="6:6" ht="13" x14ac:dyDescent="0.15">
      <c r="F788" s="2"/>
    </row>
    <row r="789" spans="6:6" ht="13" x14ac:dyDescent="0.15">
      <c r="F789" s="2"/>
    </row>
    <row r="790" spans="6:6" ht="13" x14ac:dyDescent="0.15">
      <c r="F790" s="2"/>
    </row>
    <row r="791" spans="6:6" ht="13" x14ac:dyDescent="0.15">
      <c r="F791" s="2"/>
    </row>
    <row r="792" spans="6:6" ht="13" x14ac:dyDescent="0.15">
      <c r="F792" s="2"/>
    </row>
    <row r="793" spans="6:6" ht="13" x14ac:dyDescent="0.15">
      <c r="F793" s="2"/>
    </row>
    <row r="794" spans="6:6" ht="13" x14ac:dyDescent="0.15">
      <c r="F794" s="2"/>
    </row>
    <row r="795" spans="6:6" ht="13" x14ac:dyDescent="0.15">
      <c r="F795" s="2"/>
    </row>
    <row r="796" spans="6:6" ht="13" x14ac:dyDescent="0.15">
      <c r="F796" s="2"/>
    </row>
    <row r="797" spans="6:6" ht="13" x14ac:dyDescent="0.15">
      <c r="F797" s="2"/>
    </row>
    <row r="798" spans="6:6" ht="13" x14ac:dyDescent="0.15">
      <c r="F798" s="2"/>
    </row>
    <row r="799" spans="6:6" ht="13" x14ac:dyDescent="0.15">
      <c r="F799" s="2"/>
    </row>
    <row r="800" spans="6:6" ht="13" x14ac:dyDescent="0.15">
      <c r="F800" s="2"/>
    </row>
    <row r="801" spans="6:6" ht="13" x14ac:dyDescent="0.15">
      <c r="F801" s="2"/>
    </row>
    <row r="802" spans="6:6" ht="13" x14ac:dyDescent="0.15">
      <c r="F802" s="2"/>
    </row>
    <row r="803" spans="6:6" ht="13" x14ac:dyDescent="0.15">
      <c r="F803" s="2"/>
    </row>
    <row r="804" spans="6:6" ht="13" x14ac:dyDescent="0.15">
      <c r="F804" s="2"/>
    </row>
    <row r="805" spans="6:6" ht="13" x14ac:dyDescent="0.15">
      <c r="F805" s="2"/>
    </row>
    <row r="806" spans="6:6" ht="13" x14ac:dyDescent="0.15">
      <c r="F806" s="2"/>
    </row>
    <row r="807" spans="6:6" ht="13" x14ac:dyDescent="0.15">
      <c r="F807" s="2"/>
    </row>
    <row r="808" spans="6:6" ht="13" x14ac:dyDescent="0.15">
      <c r="F808" s="2"/>
    </row>
    <row r="809" spans="6:6" ht="13" x14ac:dyDescent="0.15">
      <c r="F809" s="2"/>
    </row>
    <row r="810" spans="6:6" ht="13" x14ac:dyDescent="0.15">
      <c r="F810" s="2"/>
    </row>
    <row r="811" spans="6:6" ht="13" x14ac:dyDescent="0.15">
      <c r="F811" s="2"/>
    </row>
    <row r="812" spans="6:6" ht="13" x14ac:dyDescent="0.15">
      <c r="F812" s="2"/>
    </row>
    <row r="813" spans="6:6" ht="13" x14ac:dyDescent="0.15">
      <c r="F813" s="2"/>
    </row>
    <row r="814" spans="6:6" ht="13" x14ac:dyDescent="0.15">
      <c r="F814" s="2"/>
    </row>
    <row r="815" spans="6:6" ht="13" x14ac:dyDescent="0.15">
      <c r="F815" s="2"/>
    </row>
    <row r="816" spans="6:6" ht="13" x14ac:dyDescent="0.15">
      <c r="F816" s="2"/>
    </row>
    <row r="817" spans="6:6" ht="13" x14ac:dyDescent="0.15">
      <c r="F817" s="2"/>
    </row>
    <row r="818" spans="6:6" ht="13" x14ac:dyDescent="0.15">
      <c r="F818" s="2"/>
    </row>
    <row r="819" spans="6:6" ht="13" x14ac:dyDescent="0.15">
      <c r="F819" s="2"/>
    </row>
    <row r="820" spans="6:6" ht="13" x14ac:dyDescent="0.15">
      <c r="F820" s="2"/>
    </row>
    <row r="821" spans="6:6" ht="13" x14ac:dyDescent="0.15">
      <c r="F821" s="2"/>
    </row>
    <row r="822" spans="6:6" ht="13" x14ac:dyDescent="0.15">
      <c r="F822" s="2"/>
    </row>
    <row r="823" spans="6:6" ht="13" x14ac:dyDescent="0.15">
      <c r="F823" s="2"/>
    </row>
    <row r="824" spans="6:6" ht="13" x14ac:dyDescent="0.15">
      <c r="F824" s="2"/>
    </row>
    <row r="825" spans="6:6" ht="13" x14ac:dyDescent="0.15">
      <c r="F825" s="2"/>
    </row>
    <row r="826" spans="6:6" ht="13" x14ac:dyDescent="0.15">
      <c r="F826" s="2"/>
    </row>
    <row r="827" spans="6:6" ht="13" x14ac:dyDescent="0.15">
      <c r="F827" s="2"/>
    </row>
    <row r="828" spans="6:6" ht="13" x14ac:dyDescent="0.15">
      <c r="F828" s="2"/>
    </row>
    <row r="829" spans="6:6" ht="13" x14ac:dyDescent="0.15">
      <c r="F829" s="2"/>
    </row>
    <row r="830" spans="6:6" ht="13" x14ac:dyDescent="0.15">
      <c r="F830" s="2"/>
    </row>
    <row r="831" spans="6:6" ht="13" x14ac:dyDescent="0.15">
      <c r="F831" s="2"/>
    </row>
    <row r="832" spans="6:6" ht="13" x14ac:dyDescent="0.15">
      <c r="F832" s="2"/>
    </row>
    <row r="833" spans="6:6" ht="13" x14ac:dyDescent="0.15">
      <c r="F833" s="2"/>
    </row>
    <row r="834" spans="6:6" ht="13" x14ac:dyDescent="0.15">
      <c r="F834" s="2"/>
    </row>
    <row r="835" spans="6:6" ht="13" x14ac:dyDescent="0.15">
      <c r="F835" s="2"/>
    </row>
    <row r="836" spans="6:6" ht="13" x14ac:dyDescent="0.15">
      <c r="F836" s="2"/>
    </row>
    <row r="837" spans="6:6" ht="13" x14ac:dyDescent="0.15">
      <c r="F837" s="2"/>
    </row>
    <row r="838" spans="6:6" ht="13" x14ac:dyDescent="0.15">
      <c r="F838" s="2"/>
    </row>
    <row r="839" spans="6:6" ht="13" x14ac:dyDescent="0.15">
      <c r="F839" s="2"/>
    </row>
    <row r="840" spans="6:6" ht="13" x14ac:dyDescent="0.15">
      <c r="F840" s="2"/>
    </row>
    <row r="841" spans="6:6" ht="13" x14ac:dyDescent="0.15">
      <c r="F841" s="2"/>
    </row>
    <row r="842" spans="6:6" ht="13" x14ac:dyDescent="0.15">
      <c r="F842" s="2"/>
    </row>
    <row r="843" spans="6:6" ht="13" x14ac:dyDescent="0.15">
      <c r="F843" s="2"/>
    </row>
    <row r="844" spans="6:6" ht="13" x14ac:dyDescent="0.15">
      <c r="F844" s="2"/>
    </row>
    <row r="845" spans="6:6" ht="13" x14ac:dyDescent="0.15">
      <c r="F845" s="2"/>
    </row>
    <row r="846" spans="6:6" ht="13" x14ac:dyDescent="0.15">
      <c r="F846" s="2"/>
    </row>
    <row r="847" spans="6:6" ht="13" x14ac:dyDescent="0.15">
      <c r="F847" s="2"/>
    </row>
    <row r="848" spans="6:6" ht="13" x14ac:dyDescent="0.15">
      <c r="F848" s="2"/>
    </row>
    <row r="849" spans="6:6" ht="13" x14ac:dyDescent="0.15">
      <c r="F849" s="2"/>
    </row>
    <row r="850" spans="6:6" ht="13" x14ac:dyDescent="0.15">
      <c r="F850" s="2"/>
    </row>
    <row r="851" spans="6:6" ht="13" x14ac:dyDescent="0.15">
      <c r="F851" s="2"/>
    </row>
    <row r="852" spans="6:6" ht="13" x14ac:dyDescent="0.15">
      <c r="F852" s="2"/>
    </row>
    <row r="853" spans="6:6" ht="13" x14ac:dyDescent="0.15">
      <c r="F853" s="2"/>
    </row>
    <row r="854" spans="6:6" ht="13" x14ac:dyDescent="0.15">
      <c r="F854" s="2"/>
    </row>
    <row r="855" spans="6:6" ht="13" x14ac:dyDescent="0.15">
      <c r="F855" s="2"/>
    </row>
    <row r="856" spans="6:6" ht="13" x14ac:dyDescent="0.15">
      <c r="F856" s="2"/>
    </row>
    <row r="857" spans="6:6" ht="13" x14ac:dyDescent="0.15">
      <c r="F857" s="2"/>
    </row>
    <row r="858" spans="6:6" ht="13" x14ac:dyDescent="0.15">
      <c r="F858" s="2"/>
    </row>
    <row r="859" spans="6:6" ht="13" x14ac:dyDescent="0.15">
      <c r="F859" s="2"/>
    </row>
    <row r="860" spans="6:6" ht="13" x14ac:dyDescent="0.15">
      <c r="F860" s="2"/>
    </row>
    <row r="861" spans="6:6" ht="13" x14ac:dyDescent="0.15">
      <c r="F861" s="2"/>
    </row>
    <row r="862" spans="6:6" ht="13" x14ac:dyDescent="0.15">
      <c r="F862" s="2"/>
    </row>
    <row r="863" spans="6:6" ht="13" x14ac:dyDescent="0.15">
      <c r="F863" s="2"/>
    </row>
    <row r="864" spans="6:6" ht="13" x14ac:dyDescent="0.15">
      <c r="F864" s="2"/>
    </row>
    <row r="865" spans="6:6" ht="13" x14ac:dyDescent="0.15">
      <c r="F865" s="2"/>
    </row>
    <row r="866" spans="6:6" ht="13" x14ac:dyDescent="0.15">
      <c r="F866" s="2"/>
    </row>
    <row r="867" spans="6:6" ht="13" x14ac:dyDescent="0.15">
      <c r="F867" s="2"/>
    </row>
    <row r="868" spans="6:6" ht="13" x14ac:dyDescent="0.15">
      <c r="F868" s="2"/>
    </row>
    <row r="869" spans="6:6" ht="13" x14ac:dyDescent="0.15">
      <c r="F869" s="2"/>
    </row>
    <row r="870" spans="6:6" ht="13" x14ac:dyDescent="0.15">
      <c r="F870" s="2"/>
    </row>
    <row r="871" spans="6:6" ht="13" x14ac:dyDescent="0.15">
      <c r="F871" s="2"/>
    </row>
    <row r="872" spans="6:6" ht="13" x14ac:dyDescent="0.15">
      <c r="F872" s="2"/>
    </row>
    <row r="873" spans="6:6" ht="13" x14ac:dyDescent="0.15">
      <c r="F873" s="2"/>
    </row>
    <row r="874" spans="6:6" ht="13" x14ac:dyDescent="0.15">
      <c r="F874" s="2"/>
    </row>
    <row r="875" spans="6:6" ht="13" x14ac:dyDescent="0.15">
      <c r="F875" s="2"/>
    </row>
    <row r="876" spans="6:6" ht="13" x14ac:dyDescent="0.15">
      <c r="F876" s="2"/>
    </row>
    <row r="877" spans="6:6" ht="13" x14ac:dyDescent="0.15">
      <c r="F877" s="2"/>
    </row>
    <row r="878" spans="6:6" ht="13" x14ac:dyDescent="0.15">
      <c r="F878" s="2"/>
    </row>
    <row r="879" spans="6:6" ht="13" x14ac:dyDescent="0.15">
      <c r="F879" s="2"/>
    </row>
    <row r="880" spans="6:6" ht="13" x14ac:dyDescent="0.15">
      <c r="F880" s="2"/>
    </row>
    <row r="881" spans="6:6" ht="13" x14ac:dyDescent="0.15">
      <c r="F881" s="2"/>
    </row>
    <row r="882" spans="6:6" ht="13" x14ac:dyDescent="0.15">
      <c r="F882" s="2"/>
    </row>
    <row r="883" spans="6:6" ht="13" x14ac:dyDescent="0.15">
      <c r="F883" s="2"/>
    </row>
    <row r="884" spans="6:6" ht="13" x14ac:dyDescent="0.15">
      <c r="F884" s="2"/>
    </row>
    <row r="885" spans="6:6" ht="13" x14ac:dyDescent="0.15">
      <c r="F885" s="2"/>
    </row>
    <row r="886" spans="6:6" ht="13" x14ac:dyDescent="0.15">
      <c r="F886" s="2"/>
    </row>
    <row r="887" spans="6:6" ht="13" x14ac:dyDescent="0.15">
      <c r="F887" s="2"/>
    </row>
    <row r="888" spans="6:6" ht="13" x14ac:dyDescent="0.15">
      <c r="F888" s="2"/>
    </row>
    <row r="889" spans="6:6" ht="13" x14ac:dyDescent="0.15">
      <c r="F889" s="2"/>
    </row>
    <row r="890" spans="6:6" ht="13" x14ac:dyDescent="0.15">
      <c r="F890" s="2"/>
    </row>
    <row r="891" spans="6:6" ht="13" x14ac:dyDescent="0.15">
      <c r="F891" s="2"/>
    </row>
    <row r="892" spans="6:6" ht="13" x14ac:dyDescent="0.15">
      <c r="F892" s="2"/>
    </row>
    <row r="893" spans="6:6" ht="13" x14ac:dyDescent="0.15">
      <c r="F893" s="2"/>
    </row>
    <row r="894" spans="6:6" ht="13" x14ac:dyDescent="0.15">
      <c r="F894" s="2"/>
    </row>
    <row r="895" spans="6:6" ht="13" x14ac:dyDescent="0.15">
      <c r="F895" s="2"/>
    </row>
    <row r="896" spans="6:6" ht="13" x14ac:dyDescent="0.15">
      <c r="F896" s="2"/>
    </row>
    <row r="897" spans="6:6" ht="13" x14ac:dyDescent="0.15">
      <c r="F897" s="2"/>
    </row>
    <row r="898" spans="6:6" ht="13" x14ac:dyDescent="0.15">
      <c r="F898" s="2"/>
    </row>
    <row r="899" spans="6:6" ht="13" x14ac:dyDescent="0.15">
      <c r="F899" s="2"/>
    </row>
    <row r="900" spans="6:6" ht="13" x14ac:dyDescent="0.15">
      <c r="F900" s="2"/>
    </row>
    <row r="901" spans="6:6" ht="13" x14ac:dyDescent="0.15">
      <c r="F901" s="2"/>
    </row>
    <row r="902" spans="6:6" ht="13" x14ac:dyDescent="0.15">
      <c r="F902" s="2"/>
    </row>
    <row r="903" spans="6:6" ht="13" x14ac:dyDescent="0.15">
      <c r="F903" s="2"/>
    </row>
    <row r="904" spans="6:6" ht="13" x14ac:dyDescent="0.15">
      <c r="F904" s="2"/>
    </row>
    <row r="905" spans="6:6" ht="13" x14ac:dyDescent="0.15">
      <c r="F905" s="2"/>
    </row>
    <row r="906" spans="6:6" ht="13" x14ac:dyDescent="0.15">
      <c r="F906" s="2"/>
    </row>
    <row r="907" spans="6:6" ht="13" x14ac:dyDescent="0.15">
      <c r="F907" s="2"/>
    </row>
    <row r="908" spans="6:6" ht="13" x14ac:dyDescent="0.15">
      <c r="F908" s="2"/>
    </row>
    <row r="909" spans="6:6" ht="13" x14ac:dyDescent="0.15">
      <c r="F909" s="2"/>
    </row>
    <row r="910" spans="6:6" ht="13" x14ac:dyDescent="0.15">
      <c r="F910" s="2"/>
    </row>
    <row r="911" spans="6:6" ht="13" x14ac:dyDescent="0.15">
      <c r="F911" s="2"/>
    </row>
    <row r="912" spans="6:6" ht="13" x14ac:dyDescent="0.15">
      <c r="F912" s="2"/>
    </row>
    <row r="913" spans="6:6" ht="13" x14ac:dyDescent="0.15">
      <c r="F913" s="2"/>
    </row>
    <row r="914" spans="6:6" ht="13" x14ac:dyDescent="0.15">
      <c r="F914" s="2"/>
    </row>
    <row r="915" spans="6:6" ht="13" x14ac:dyDescent="0.15">
      <c r="F915" s="2"/>
    </row>
    <row r="916" spans="6:6" ht="13" x14ac:dyDescent="0.15">
      <c r="F916" s="2"/>
    </row>
    <row r="917" spans="6:6" ht="13" x14ac:dyDescent="0.15">
      <c r="F917" s="2"/>
    </row>
    <row r="918" spans="6:6" ht="13" x14ac:dyDescent="0.15">
      <c r="F918" s="2"/>
    </row>
    <row r="919" spans="6:6" ht="13" x14ac:dyDescent="0.15">
      <c r="F919" s="2"/>
    </row>
    <row r="920" spans="6:6" ht="13" x14ac:dyDescent="0.15">
      <c r="F920" s="2"/>
    </row>
    <row r="921" spans="6:6" ht="13" x14ac:dyDescent="0.15">
      <c r="F921" s="2"/>
    </row>
    <row r="922" spans="6:6" ht="13" x14ac:dyDescent="0.15">
      <c r="F922" s="2"/>
    </row>
    <row r="923" spans="6:6" ht="13" x14ac:dyDescent="0.15">
      <c r="F923" s="2"/>
    </row>
    <row r="924" spans="6:6" ht="13" x14ac:dyDescent="0.15">
      <c r="F924" s="2"/>
    </row>
    <row r="925" spans="6:6" ht="13" x14ac:dyDescent="0.15">
      <c r="F925" s="2"/>
    </row>
    <row r="926" spans="6:6" ht="13" x14ac:dyDescent="0.15">
      <c r="F926" s="2"/>
    </row>
    <row r="927" spans="6:6" ht="13" x14ac:dyDescent="0.15">
      <c r="F927" s="2"/>
    </row>
    <row r="928" spans="6:6" ht="13" x14ac:dyDescent="0.15">
      <c r="F928" s="2"/>
    </row>
    <row r="929" spans="6:6" ht="13" x14ac:dyDescent="0.15">
      <c r="F929" s="2"/>
    </row>
    <row r="930" spans="6:6" ht="13" x14ac:dyDescent="0.15">
      <c r="F930" s="2"/>
    </row>
    <row r="931" spans="6:6" ht="13" x14ac:dyDescent="0.15">
      <c r="F931" s="2"/>
    </row>
    <row r="932" spans="6:6" ht="13" x14ac:dyDescent="0.15">
      <c r="F932" s="2"/>
    </row>
    <row r="933" spans="6:6" ht="13" x14ac:dyDescent="0.15">
      <c r="F933" s="2"/>
    </row>
    <row r="934" spans="6:6" ht="13" x14ac:dyDescent="0.15">
      <c r="F934" s="2"/>
    </row>
    <row r="935" spans="6:6" ht="13" x14ac:dyDescent="0.15">
      <c r="F935" s="2"/>
    </row>
    <row r="936" spans="6:6" ht="13" x14ac:dyDescent="0.15">
      <c r="F936" s="2"/>
    </row>
    <row r="937" spans="6:6" ht="13" x14ac:dyDescent="0.15">
      <c r="F937" s="2"/>
    </row>
    <row r="938" spans="6:6" ht="13" x14ac:dyDescent="0.15">
      <c r="F938" s="2"/>
    </row>
    <row r="939" spans="6:6" ht="13" x14ac:dyDescent="0.15">
      <c r="F939" s="2"/>
    </row>
    <row r="940" spans="6:6" ht="13" x14ac:dyDescent="0.15">
      <c r="F940" s="2"/>
    </row>
    <row r="941" spans="6:6" ht="13" x14ac:dyDescent="0.15">
      <c r="F941" s="2"/>
    </row>
    <row r="942" spans="6:6" ht="13" x14ac:dyDescent="0.15">
      <c r="F942" s="2"/>
    </row>
    <row r="943" spans="6:6" ht="13" x14ac:dyDescent="0.15">
      <c r="F943" s="2"/>
    </row>
    <row r="944" spans="6:6" ht="13" x14ac:dyDescent="0.15">
      <c r="F944" s="2"/>
    </row>
    <row r="945" spans="6:6" ht="13" x14ac:dyDescent="0.15">
      <c r="F945" s="2"/>
    </row>
    <row r="946" spans="6:6" ht="13" x14ac:dyDescent="0.15">
      <c r="F946" s="2"/>
    </row>
    <row r="947" spans="6:6" ht="13" x14ac:dyDescent="0.15">
      <c r="F947" s="2"/>
    </row>
    <row r="948" spans="6:6" ht="13" x14ac:dyDescent="0.15">
      <c r="F948" s="2"/>
    </row>
    <row r="949" spans="6:6" ht="13" x14ac:dyDescent="0.15">
      <c r="F949" s="2"/>
    </row>
    <row r="950" spans="6:6" ht="13" x14ac:dyDescent="0.15">
      <c r="F950" s="2"/>
    </row>
    <row r="951" spans="6:6" ht="13" x14ac:dyDescent="0.15">
      <c r="F951" s="2"/>
    </row>
    <row r="952" spans="6:6" ht="13" x14ac:dyDescent="0.15">
      <c r="F952" s="2"/>
    </row>
    <row r="953" spans="6:6" ht="13" x14ac:dyDescent="0.15">
      <c r="F953" s="2"/>
    </row>
    <row r="954" spans="6:6" ht="13" x14ac:dyDescent="0.15">
      <c r="F954" s="2"/>
    </row>
    <row r="955" spans="6:6" ht="13" x14ac:dyDescent="0.15">
      <c r="F955" s="2"/>
    </row>
    <row r="956" spans="6:6" ht="13" x14ac:dyDescent="0.15">
      <c r="F956" s="2"/>
    </row>
    <row r="957" spans="6:6" ht="13" x14ac:dyDescent="0.15">
      <c r="F957" s="2"/>
    </row>
    <row r="958" spans="6:6" ht="13" x14ac:dyDescent="0.15">
      <c r="F958" s="2"/>
    </row>
    <row r="959" spans="6:6" ht="13" x14ac:dyDescent="0.15">
      <c r="F959" s="2"/>
    </row>
    <row r="960" spans="6:6" ht="13" x14ac:dyDescent="0.15">
      <c r="F960" s="2"/>
    </row>
    <row r="961" spans="6:6" ht="13" x14ac:dyDescent="0.15">
      <c r="F961" s="2"/>
    </row>
    <row r="962" spans="6:6" ht="13" x14ac:dyDescent="0.15">
      <c r="F962" s="2"/>
    </row>
    <row r="963" spans="6:6" ht="13" x14ac:dyDescent="0.15">
      <c r="F963" s="2"/>
    </row>
    <row r="964" spans="6:6" ht="13" x14ac:dyDescent="0.15">
      <c r="F964" s="2"/>
    </row>
    <row r="965" spans="6:6" ht="13" x14ac:dyDescent="0.15">
      <c r="F965" s="2"/>
    </row>
    <row r="966" spans="6:6" ht="13" x14ac:dyDescent="0.15">
      <c r="F966" s="2"/>
    </row>
    <row r="967" spans="6:6" ht="13" x14ac:dyDescent="0.15">
      <c r="F967" s="2"/>
    </row>
    <row r="968" spans="6:6" ht="13" x14ac:dyDescent="0.15">
      <c r="F968" s="2"/>
    </row>
    <row r="969" spans="6:6" ht="13" x14ac:dyDescent="0.15">
      <c r="F969" s="2"/>
    </row>
    <row r="970" spans="6:6" ht="13" x14ac:dyDescent="0.15">
      <c r="F970" s="2"/>
    </row>
    <row r="971" spans="6:6" ht="13" x14ac:dyDescent="0.15">
      <c r="F971" s="2"/>
    </row>
    <row r="972" spans="6:6" ht="13" x14ac:dyDescent="0.15">
      <c r="F972" s="2"/>
    </row>
    <row r="973" spans="6:6" ht="13" x14ac:dyDescent="0.15">
      <c r="F973" s="2"/>
    </row>
    <row r="974" spans="6:6" ht="13" x14ac:dyDescent="0.15">
      <c r="F974" s="2"/>
    </row>
    <row r="975" spans="6:6" ht="13" x14ac:dyDescent="0.15">
      <c r="F975" s="2"/>
    </row>
    <row r="976" spans="6:6" ht="13" x14ac:dyDescent="0.15">
      <c r="F976" s="2"/>
    </row>
    <row r="977" spans="6:6" ht="13" x14ac:dyDescent="0.15">
      <c r="F977" s="2"/>
    </row>
    <row r="978" spans="6:6" ht="13" x14ac:dyDescent="0.15">
      <c r="F978" s="2"/>
    </row>
    <row r="979" spans="6:6" ht="13" x14ac:dyDescent="0.15">
      <c r="F979" s="2"/>
    </row>
    <row r="980" spans="6:6" ht="13" x14ac:dyDescent="0.15">
      <c r="F980" s="2"/>
    </row>
    <row r="981" spans="6:6" ht="13" x14ac:dyDescent="0.15">
      <c r="F981" s="2"/>
    </row>
    <row r="982" spans="6:6" ht="13" x14ac:dyDescent="0.15">
      <c r="F982" s="2"/>
    </row>
    <row r="983" spans="6:6" ht="13" x14ac:dyDescent="0.15">
      <c r="F983" s="2"/>
    </row>
    <row r="984" spans="6:6" ht="13" x14ac:dyDescent="0.15">
      <c r="F984" s="2"/>
    </row>
    <row r="985" spans="6:6" ht="13" x14ac:dyDescent="0.15">
      <c r="F985" s="2"/>
    </row>
    <row r="986" spans="6:6" ht="13" x14ac:dyDescent="0.15">
      <c r="F986" s="2"/>
    </row>
    <row r="987" spans="6:6" ht="13" x14ac:dyDescent="0.15">
      <c r="F987" s="2"/>
    </row>
    <row r="988" spans="6:6" ht="13" x14ac:dyDescent="0.15">
      <c r="F988" s="2"/>
    </row>
    <row r="989" spans="6:6" ht="13" x14ac:dyDescent="0.15">
      <c r="F989" s="2"/>
    </row>
    <row r="990" spans="6:6" ht="13" x14ac:dyDescent="0.15">
      <c r="F990" s="2"/>
    </row>
    <row r="991" spans="6:6" ht="13" x14ac:dyDescent="0.15">
      <c r="F991" s="2"/>
    </row>
    <row r="992" spans="6:6" ht="13" x14ac:dyDescent="0.15">
      <c r="F992" s="2"/>
    </row>
    <row r="993" spans="6:6" ht="13" x14ac:dyDescent="0.15">
      <c r="F993" s="2"/>
    </row>
    <row r="994" spans="6:6" ht="13" x14ac:dyDescent="0.15">
      <c r="F994" s="2"/>
    </row>
    <row r="995" spans="6:6" ht="13" x14ac:dyDescent="0.15">
      <c r="F995" s="2"/>
    </row>
    <row r="996" spans="6:6" ht="13" x14ac:dyDescent="0.15">
      <c r="F996" s="2"/>
    </row>
    <row r="997" spans="6:6" ht="13" x14ac:dyDescent="0.15">
      <c r="F997" s="2"/>
    </row>
    <row r="998" spans="6:6" ht="13" x14ac:dyDescent="0.15">
      <c r="F998" s="2"/>
    </row>
    <row r="999" spans="6:6" ht="13" x14ac:dyDescent="0.15">
      <c r="F999" s="2"/>
    </row>
    <row r="1000" spans="6:6" ht="13" x14ac:dyDescent="0.15">
      <c r="F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18" ht="15.75" customHeight="1" x14ac:dyDescent="0.1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</row>
    <row r="2" spans="1:18" ht="15.75" customHeight="1" x14ac:dyDescent="0.15">
      <c r="A2" s="4" t="s">
        <v>32</v>
      </c>
      <c r="B2" s="5" t="s">
        <v>33</v>
      </c>
      <c r="C2" s="5">
        <v>7068</v>
      </c>
      <c r="D2" s="5">
        <v>4</v>
      </c>
      <c r="E2" s="5">
        <v>93296</v>
      </c>
      <c r="F2" s="5" t="s">
        <v>34</v>
      </c>
      <c r="G2" s="6"/>
      <c r="H2" s="5">
        <v>338</v>
      </c>
      <c r="I2" s="5" t="s">
        <v>35</v>
      </c>
      <c r="J2" s="5" t="s">
        <v>36</v>
      </c>
      <c r="K2" s="5" t="s">
        <v>37</v>
      </c>
      <c r="L2" s="5" t="s">
        <v>38</v>
      </c>
      <c r="M2" s="5">
        <v>151</v>
      </c>
      <c r="N2" s="5">
        <v>151</v>
      </c>
      <c r="O2" s="5">
        <v>1.7241379000000001E-2</v>
      </c>
      <c r="P2" s="5" t="s">
        <v>39</v>
      </c>
      <c r="Q2" s="5">
        <v>1</v>
      </c>
      <c r="R2" s="5">
        <v>290498475</v>
      </c>
    </row>
    <row r="3" spans="1:18" ht="15.75" customHeight="1" x14ac:dyDescent="0.15">
      <c r="A3" s="4" t="s">
        <v>32</v>
      </c>
      <c r="B3" s="5" t="s">
        <v>33</v>
      </c>
      <c r="C3" s="5">
        <v>7069</v>
      </c>
      <c r="D3" s="5">
        <v>4</v>
      </c>
      <c r="E3" s="5">
        <v>93296</v>
      </c>
      <c r="F3" s="5" t="s">
        <v>40</v>
      </c>
      <c r="G3" s="6"/>
      <c r="H3" s="5">
        <v>338</v>
      </c>
      <c r="I3" s="5" t="s">
        <v>35</v>
      </c>
      <c r="J3" s="5" t="s">
        <v>36</v>
      </c>
      <c r="K3" s="5" t="s">
        <v>37</v>
      </c>
      <c r="L3" s="5" t="s">
        <v>38</v>
      </c>
      <c r="M3" s="5">
        <v>151</v>
      </c>
      <c r="N3" s="5">
        <v>151</v>
      </c>
      <c r="O3" s="5">
        <v>0.13793103200000001</v>
      </c>
      <c r="P3" s="5" t="s">
        <v>39</v>
      </c>
      <c r="Q3" s="5">
        <v>8</v>
      </c>
      <c r="R3" s="5">
        <v>934583.75</v>
      </c>
    </row>
    <row r="4" spans="1:18" ht="15.75" customHeight="1" x14ac:dyDescent="0.15">
      <c r="A4" s="4" t="s">
        <v>32</v>
      </c>
      <c r="B4" s="5" t="s">
        <v>41</v>
      </c>
      <c r="C4" s="5">
        <v>6423</v>
      </c>
      <c r="D4" s="5">
        <v>1</v>
      </c>
      <c r="E4" s="5">
        <v>93294</v>
      </c>
      <c r="F4" s="5" t="s">
        <v>42</v>
      </c>
      <c r="G4" s="6"/>
      <c r="H4" s="5">
        <v>338</v>
      </c>
      <c r="I4" s="5" t="s">
        <v>35</v>
      </c>
      <c r="J4" s="5" t="s">
        <v>36</v>
      </c>
      <c r="K4" s="5" t="s">
        <v>37</v>
      </c>
      <c r="L4" s="5" t="s">
        <v>38</v>
      </c>
      <c r="M4" s="5">
        <v>151</v>
      </c>
      <c r="N4" s="5">
        <v>151</v>
      </c>
      <c r="O4" s="5">
        <v>1</v>
      </c>
      <c r="P4" s="5" t="s">
        <v>44</v>
      </c>
      <c r="Q4" s="5">
        <v>16</v>
      </c>
      <c r="R4" s="5">
        <v>53789815.3125</v>
      </c>
    </row>
    <row r="5" spans="1:18" ht="15.75" customHeight="1" x14ac:dyDescent="0.15">
      <c r="A5" s="4" t="s">
        <v>32</v>
      </c>
      <c r="B5" s="5" t="s">
        <v>41</v>
      </c>
      <c r="C5" s="5">
        <v>6423</v>
      </c>
      <c r="D5" s="5">
        <v>2</v>
      </c>
      <c r="E5" s="5">
        <v>93294</v>
      </c>
      <c r="F5" s="5" t="s">
        <v>42</v>
      </c>
      <c r="G5" s="6"/>
      <c r="H5" s="5">
        <v>338</v>
      </c>
      <c r="I5" s="5" t="s">
        <v>35</v>
      </c>
      <c r="J5" s="5" t="s">
        <v>36</v>
      </c>
      <c r="K5" s="5" t="s">
        <v>37</v>
      </c>
      <c r="L5" s="5" t="s">
        <v>38</v>
      </c>
      <c r="M5" s="5">
        <v>151</v>
      </c>
      <c r="N5" s="5">
        <v>151</v>
      </c>
      <c r="O5" s="5">
        <v>0.99999998999999995</v>
      </c>
      <c r="P5" s="5" t="s">
        <v>44</v>
      </c>
      <c r="Q5" s="5">
        <v>22</v>
      </c>
      <c r="R5" s="5">
        <v>38883371.045500003</v>
      </c>
    </row>
    <row r="6" spans="1:18" ht="15.75" customHeight="1" x14ac:dyDescent="0.15">
      <c r="A6" s="4" t="s">
        <v>32</v>
      </c>
      <c r="B6" s="5" t="s">
        <v>41</v>
      </c>
      <c r="C6" s="5">
        <v>6423</v>
      </c>
      <c r="D6" s="5">
        <v>3</v>
      </c>
      <c r="E6" s="5">
        <v>93294</v>
      </c>
      <c r="F6" s="5" t="s">
        <v>42</v>
      </c>
      <c r="G6" s="6"/>
      <c r="H6" s="5">
        <v>338</v>
      </c>
      <c r="I6" s="5" t="s">
        <v>35</v>
      </c>
      <c r="J6" s="5" t="s">
        <v>36</v>
      </c>
      <c r="K6" s="5" t="s">
        <v>37</v>
      </c>
      <c r="L6" s="5" t="s">
        <v>38</v>
      </c>
      <c r="M6" s="5">
        <v>151</v>
      </c>
      <c r="N6" s="5">
        <v>151</v>
      </c>
      <c r="O6" s="5">
        <v>0.99999998999999995</v>
      </c>
      <c r="P6" s="5" t="s">
        <v>44</v>
      </c>
      <c r="Q6" s="5">
        <v>22</v>
      </c>
      <c r="R6" s="5">
        <v>39057516.272699997</v>
      </c>
    </row>
    <row r="7" spans="1:18" ht="15.75" customHeight="1" x14ac:dyDescent="0.15">
      <c r="A7" s="4" t="s">
        <v>32</v>
      </c>
      <c r="B7" s="5" t="s">
        <v>41</v>
      </c>
      <c r="C7" s="5">
        <v>6423</v>
      </c>
      <c r="D7" s="5">
        <v>4</v>
      </c>
      <c r="E7" s="5">
        <v>93294</v>
      </c>
      <c r="F7" s="5" t="s">
        <v>42</v>
      </c>
      <c r="G7" s="6"/>
      <c r="H7" s="5">
        <v>338</v>
      </c>
      <c r="I7" s="5" t="s">
        <v>35</v>
      </c>
      <c r="J7" s="5" t="s">
        <v>36</v>
      </c>
      <c r="K7" s="5" t="s">
        <v>37</v>
      </c>
      <c r="L7" s="5" t="s">
        <v>38</v>
      </c>
      <c r="M7" s="5">
        <v>151</v>
      </c>
      <c r="N7" s="5">
        <v>151</v>
      </c>
      <c r="O7" s="5">
        <v>0.99999998999999995</v>
      </c>
      <c r="P7" s="5" t="s">
        <v>44</v>
      </c>
      <c r="Q7" s="5">
        <v>22</v>
      </c>
      <c r="R7" s="5">
        <v>39177371.636399999</v>
      </c>
    </row>
    <row r="8" spans="1:18" ht="15.75" customHeight="1" x14ac:dyDescent="0.15">
      <c r="A8" s="4" t="s">
        <v>32</v>
      </c>
      <c r="B8" s="5" t="s">
        <v>41</v>
      </c>
      <c r="C8" s="5">
        <v>6423</v>
      </c>
      <c r="D8" s="5">
        <v>1</v>
      </c>
      <c r="E8" s="5">
        <v>93295</v>
      </c>
      <c r="F8" s="5" t="s">
        <v>42</v>
      </c>
      <c r="G8" s="6"/>
      <c r="H8" s="5">
        <v>338</v>
      </c>
      <c r="I8" s="5" t="s">
        <v>35</v>
      </c>
      <c r="J8" s="5" t="s">
        <v>36</v>
      </c>
      <c r="K8" s="5" t="s">
        <v>37</v>
      </c>
      <c r="L8" s="5" t="s">
        <v>38</v>
      </c>
      <c r="M8" s="5">
        <v>151</v>
      </c>
      <c r="N8" s="5">
        <v>151</v>
      </c>
      <c r="O8" s="5">
        <v>0.99999998800000001</v>
      </c>
      <c r="P8" s="5" t="s">
        <v>44</v>
      </c>
      <c r="Q8" s="5">
        <v>26</v>
      </c>
      <c r="R8" s="5">
        <v>34186340.153800003</v>
      </c>
    </row>
    <row r="9" spans="1:18" ht="15.75" customHeight="1" x14ac:dyDescent="0.15">
      <c r="A9" s="4" t="s">
        <v>32</v>
      </c>
      <c r="B9" s="5" t="s">
        <v>41</v>
      </c>
      <c r="C9" s="5">
        <v>6423</v>
      </c>
      <c r="D9" s="5">
        <v>2</v>
      </c>
      <c r="E9" s="5">
        <v>93295</v>
      </c>
      <c r="F9" s="5" t="s">
        <v>42</v>
      </c>
      <c r="G9" s="6"/>
      <c r="H9" s="5">
        <v>338</v>
      </c>
      <c r="I9" s="5" t="s">
        <v>35</v>
      </c>
      <c r="J9" s="5" t="s">
        <v>36</v>
      </c>
      <c r="K9" s="5" t="s">
        <v>37</v>
      </c>
      <c r="L9" s="5" t="s">
        <v>38</v>
      </c>
      <c r="M9" s="5">
        <v>151</v>
      </c>
      <c r="N9" s="5">
        <v>151</v>
      </c>
      <c r="O9" s="5">
        <v>0.99999998800000001</v>
      </c>
      <c r="P9" s="5" t="s">
        <v>44</v>
      </c>
      <c r="Q9" s="5">
        <v>13</v>
      </c>
      <c r="R9" s="5">
        <v>67276806.923099995</v>
      </c>
    </row>
    <row r="10" spans="1:18" ht="15.75" customHeight="1" x14ac:dyDescent="0.15">
      <c r="A10" s="4" t="s">
        <v>32</v>
      </c>
      <c r="B10" s="5" t="s">
        <v>41</v>
      </c>
      <c r="C10" s="5">
        <v>6423</v>
      </c>
      <c r="D10" s="5">
        <v>3</v>
      </c>
      <c r="E10" s="5">
        <v>93295</v>
      </c>
      <c r="F10" s="5" t="s">
        <v>42</v>
      </c>
      <c r="G10" s="6"/>
      <c r="H10" s="5">
        <v>338</v>
      </c>
      <c r="I10" s="5" t="s">
        <v>35</v>
      </c>
      <c r="J10" s="5" t="s">
        <v>36</v>
      </c>
      <c r="K10" s="5" t="s">
        <v>37</v>
      </c>
      <c r="L10" s="5" t="s">
        <v>38</v>
      </c>
      <c r="M10" s="5">
        <v>151</v>
      </c>
      <c r="N10" s="5">
        <v>151</v>
      </c>
      <c r="O10" s="5">
        <v>0.99999999299999998</v>
      </c>
      <c r="P10" s="5" t="s">
        <v>44</v>
      </c>
      <c r="Q10" s="5">
        <v>17</v>
      </c>
      <c r="R10" s="5">
        <v>49678904.705899999</v>
      </c>
    </row>
    <row r="11" spans="1:18" ht="15.75" customHeight="1" x14ac:dyDescent="0.15">
      <c r="A11" s="4" t="s">
        <v>32</v>
      </c>
      <c r="B11" s="5" t="s">
        <v>41</v>
      </c>
      <c r="C11" s="5">
        <v>6423</v>
      </c>
      <c r="D11" s="5">
        <v>4</v>
      </c>
      <c r="E11" s="5">
        <v>93295</v>
      </c>
      <c r="F11" s="5" t="s">
        <v>42</v>
      </c>
      <c r="G11" s="6"/>
      <c r="H11" s="5">
        <v>338</v>
      </c>
      <c r="I11" s="5" t="s">
        <v>35</v>
      </c>
      <c r="J11" s="5" t="s">
        <v>36</v>
      </c>
      <c r="K11" s="5" t="s">
        <v>37</v>
      </c>
      <c r="L11" s="5" t="s">
        <v>38</v>
      </c>
      <c r="M11" s="5">
        <v>151</v>
      </c>
      <c r="N11" s="5">
        <v>151</v>
      </c>
      <c r="O11" s="5">
        <v>0.99999999299999998</v>
      </c>
      <c r="P11" s="5" t="s">
        <v>44</v>
      </c>
      <c r="Q11" s="5">
        <v>17</v>
      </c>
      <c r="R11" s="5">
        <v>50940391.588200003</v>
      </c>
    </row>
    <row r="12" spans="1:18" ht="15.75" customHeight="1" x14ac:dyDescent="0.15">
      <c r="A12" s="4" t="s">
        <v>32</v>
      </c>
      <c r="B12" s="5" t="s">
        <v>41</v>
      </c>
      <c r="C12" s="5">
        <v>6423</v>
      </c>
      <c r="D12" s="5">
        <v>1</v>
      </c>
      <c r="E12" s="5">
        <v>93296</v>
      </c>
      <c r="F12" s="5" t="s">
        <v>42</v>
      </c>
      <c r="G12" s="6"/>
      <c r="H12" s="5">
        <v>338</v>
      </c>
      <c r="I12" s="5" t="s">
        <v>35</v>
      </c>
      <c r="J12" s="5" t="s">
        <v>36</v>
      </c>
      <c r="K12" s="5" t="s">
        <v>37</v>
      </c>
      <c r="L12" s="5" t="s">
        <v>38</v>
      </c>
      <c r="M12" s="5">
        <v>151</v>
      </c>
      <c r="N12" s="5">
        <v>151</v>
      </c>
      <c r="O12" s="5">
        <v>1</v>
      </c>
      <c r="P12" s="5" t="s">
        <v>44</v>
      </c>
      <c r="Q12" s="5">
        <v>16</v>
      </c>
      <c r="R12" s="5">
        <v>57150071.625</v>
      </c>
    </row>
    <row r="13" spans="1:18" ht="15.75" customHeight="1" x14ac:dyDescent="0.15">
      <c r="A13" s="4" t="s">
        <v>32</v>
      </c>
      <c r="B13" s="5" t="s">
        <v>41</v>
      </c>
      <c r="C13" s="5">
        <v>6423</v>
      </c>
      <c r="D13" s="5">
        <v>2</v>
      </c>
      <c r="E13" s="5">
        <v>93296</v>
      </c>
      <c r="F13" s="5" t="s">
        <v>42</v>
      </c>
      <c r="G13" s="6"/>
      <c r="H13" s="5">
        <v>338</v>
      </c>
      <c r="I13" s="5" t="s">
        <v>35</v>
      </c>
      <c r="J13" s="5" t="s">
        <v>36</v>
      </c>
      <c r="K13" s="5" t="s">
        <v>37</v>
      </c>
      <c r="L13" s="5" t="s">
        <v>38</v>
      </c>
      <c r="M13" s="5">
        <v>151</v>
      </c>
      <c r="N13" s="5">
        <v>151</v>
      </c>
      <c r="O13" s="5">
        <v>0.99999998800000001</v>
      </c>
      <c r="P13" s="5" t="s">
        <v>44</v>
      </c>
      <c r="Q13" s="5">
        <v>26</v>
      </c>
      <c r="R13" s="5">
        <v>35362786.769199997</v>
      </c>
    </row>
    <row r="14" spans="1:18" ht="15.75" customHeight="1" x14ac:dyDescent="0.15">
      <c r="A14" s="4" t="s">
        <v>32</v>
      </c>
      <c r="B14" s="5" t="s">
        <v>41</v>
      </c>
      <c r="C14" s="5">
        <v>6423</v>
      </c>
      <c r="D14" s="5">
        <v>3</v>
      </c>
      <c r="E14" s="5">
        <v>93296</v>
      </c>
      <c r="F14" s="5" t="s">
        <v>42</v>
      </c>
      <c r="G14" s="6"/>
      <c r="H14" s="5">
        <v>338</v>
      </c>
      <c r="I14" s="5" t="s">
        <v>35</v>
      </c>
      <c r="J14" s="5" t="s">
        <v>36</v>
      </c>
      <c r="K14" s="5" t="s">
        <v>37</v>
      </c>
      <c r="L14" s="5" t="s">
        <v>38</v>
      </c>
      <c r="M14" s="5">
        <v>151</v>
      </c>
      <c r="N14" s="5">
        <v>151</v>
      </c>
      <c r="O14" s="5">
        <v>0.99999998800000001</v>
      </c>
      <c r="P14" s="5" t="s">
        <v>44</v>
      </c>
      <c r="Q14" s="5">
        <v>26</v>
      </c>
      <c r="R14" s="5">
        <v>34572409.576899998</v>
      </c>
    </row>
    <row r="15" spans="1:18" ht="15.75" customHeight="1" x14ac:dyDescent="0.15">
      <c r="A15" s="4" t="s">
        <v>47</v>
      </c>
      <c r="B15" s="5" t="s">
        <v>48</v>
      </c>
      <c r="C15" s="5">
        <v>6644</v>
      </c>
      <c r="D15" s="5">
        <v>1</v>
      </c>
      <c r="E15" s="5">
        <v>93301</v>
      </c>
      <c r="F15" s="5" t="s">
        <v>49</v>
      </c>
      <c r="G15" s="6"/>
      <c r="H15" s="6"/>
      <c r="I15" s="5" t="s">
        <v>35</v>
      </c>
      <c r="J15" s="6"/>
      <c r="K15" s="6"/>
      <c r="L15" s="6"/>
      <c r="M15" s="6"/>
      <c r="N15" s="6"/>
      <c r="O15" s="5">
        <v>1</v>
      </c>
      <c r="P15" s="5" t="s">
        <v>50</v>
      </c>
      <c r="Q15" s="5">
        <v>2</v>
      </c>
      <c r="R15" s="5">
        <v>4519056</v>
      </c>
    </row>
    <row r="16" spans="1:18" ht="15.75" customHeight="1" x14ac:dyDescent="0.15">
      <c r="A16" s="4" t="s">
        <v>47</v>
      </c>
      <c r="B16" s="5" t="s">
        <v>48</v>
      </c>
      <c r="C16" s="5">
        <v>6644</v>
      </c>
      <c r="D16" s="5">
        <v>2</v>
      </c>
      <c r="E16" s="5">
        <v>93301</v>
      </c>
      <c r="F16" s="5" t="s">
        <v>49</v>
      </c>
      <c r="G16" s="6"/>
      <c r="H16" s="6"/>
      <c r="I16" s="5" t="s">
        <v>35</v>
      </c>
      <c r="J16" s="6"/>
      <c r="K16" s="6"/>
      <c r="L16" s="6"/>
      <c r="M16" s="6"/>
      <c r="N16" s="6"/>
      <c r="O16" s="5">
        <v>1</v>
      </c>
      <c r="P16" s="5" t="s">
        <v>50</v>
      </c>
      <c r="Q16" s="5">
        <v>2</v>
      </c>
      <c r="R16" s="5">
        <v>4635952.5</v>
      </c>
    </row>
    <row r="17" spans="1:18" ht="15.75" customHeight="1" x14ac:dyDescent="0.15">
      <c r="A17" s="4" t="s">
        <v>32</v>
      </c>
      <c r="B17" s="5" t="s">
        <v>133</v>
      </c>
      <c r="C17" s="5">
        <v>6187</v>
      </c>
      <c r="D17" s="5">
        <v>1</v>
      </c>
      <c r="E17" s="5">
        <v>93378</v>
      </c>
      <c r="F17" s="5" t="s">
        <v>52</v>
      </c>
      <c r="G17" s="6"/>
      <c r="H17" s="5">
        <v>545</v>
      </c>
      <c r="I17" s="5" t="s">
        <v>35</v>
      </c>
      <c r="J17" s="5" t="s">
        <v>36</v>
      </c>
      <c r="K17" s="5" t="s">
        <v>37</v>
      </c>
      <c r="L17" s="5" t="s">
        <v>54</v>
      </c>
      <c r="M17" s="5">
        <v>221</v>
      </c>
      <c r="N17" s="5">
        <v>201</v>
      </c>
      <c r="O17" s="5">
        <v>0.99999974400000502</v>
      </c>
      <c r="P17" s="5" t="s">
        <v>55</v>
      </c>
      <c r="Q17" s="5">
        <v>384</v>
      </c>
      <c r="R17" s="5">
        <v>511999.53129999997</v>
      </c>
    </row>
    <row r="18" spans="1:18" ht="15.75" customHeight="1" x14ac:dyDescent="0.15">
      <c r="A18" s="4" t="s">
        <v>32</v>
      </c>
      <c r="B18" s="5" t="s">
        <v>133</v>
      </c>
      <c r="C18" s="5">
        <v>6187</v>
      </c>
      <c r="D18" s="5">
        <v>2</v>
      </c>
      <c r="E18" s="5">
        <v>93378</v>
      </c>
      <c r="F18" s="5" t="s">
        <v>52</v>
      </c>
      <c r="G18" s="6"/>
      <c r="H18" s="5">
        <v>545</v>
      </c>
      <c r="I18" s="5" t="s">
        <v>35</v>
      </c>
      <c r="J18" s="5" t="s">
        <v>36</v>
      </c>
      <c r="K18" s="5" t="s">
        <v>37</v>
      </c>
      <c r="L18" s="5" t="s">
        <v>54</v>
      </c>
      <c r="M18" s="5">
        <v>221</v>
      </c>
      <c r="N18" s="5">
        <v>201</v>
      </c>
      <c r="O18" s="5">
        <v>0.99999974400000502</v>
      </c>
      <c r="P18" s="5" t="s">
        <v>55</v>
      </c>
      <c r="Q18" s="5">
        <v>384</v>
      </c>
      <c r="R18" s="5">
        <v>556005.75780000002</v>
      </c>
    </row>
    <row r="19" spans="1:18" ht="15.75" customHeight="1" x14ac:dyDescent="0.15">
      <c r="A19" s="4" t="s">
        <v>32</v>
      </c>
      <c r="B19" s="5" t="s">
        <v>133</v>
      </c>
      <c r="C19" s="5">
        <v>6187</v>
      </c>
      <c r="D19" s="5">
        <v>1</v>
      </c>
      <c r="E19" s="5">
        <v>93381</v>
      </c>
      <c r="F19" s="5" t="s">
        <v>52</v>
      </c>
      <c r="G19" s="6"/>
      <c r="H19" s="5">
        <v>545</v>
      </c>
      <c r="I19" s="5" t="s">
        <v>35</v>
      </c>
      <c r="J19" s="5" t="s">
        <v>36</v>
      </c>
      <c r="K19" s="5" t="s">
        <v>37</v>
      </c>
      <c r="L19" s="5" t="s">
        <v>54</v>
      </c>
      <c r="M19" s="5">
        <v>221</v>
      </c>
      <c r="N19" s="5">
        <v>201</v>
      </c>
      <c r="O19" s="5">
        <v>0.99999998199999296</v>
      </c>
      <c r="P19" s="5" t="s">
        <v>55</v>
      </c>
      <c r="Q19" s="5">
        <v>382</v>
      </c>
      <c r="R19" s="5">
        <v>534772.47640000004</v>
      </c>
    </row>
    <row r="20" spans="1:18" ht="15.75" customHeight="1" x14ac:dyDescent="0.15">
      <c r="A20" s="4" t="s">
        <v>32</v>
      </c>
      <c r="B20" s="5" t="s">
        <v>133</v>
      </c>
      <c r="C20" s="5">
        <v>6187</v>
      </c>
      <c r="D20" s="5">
        <v>2</v>
      </c>
      <c r="E20" s="5">
        <v>93381</v>
      </c>
      <c r="F20" s="5" t="s">
        <v>52</v>
      </c>
      <c r="G20" s="6"/>
      <c r="H20" s="5">
        <v>545</v>
      </c>
      <c r="I20" s="5" t="s">
        <v>35</v>
      </c>
      <c r="J20" s="5" t="s">
        <v>36</v>
      </c>
      <c r="K20" s="5" t="s">
        <v>37</v>
      </c>
      <c r="L20" s="5" t="s">
        <v>54</v>
      </c>
      <c r="M20" s="5">
        <v>221</v>
      </c>
      <c r="N20" s="5">
        <v>201</v>
      </c>
      <c r="O20" s="5">
        <v>0.99999974400000502</v>
      </c>
      <c r="P20" s="5" t="s">
        <v>55</v>
      </c>
      <c r="Q20" s="5">
        <v>384</v>
      </c>
      <c r="R20" s="5">
        <v>474191.07030000002</v>
      </c>
    </row>
    <row r="21" spans="1:18" ht="15.75" customHeight="1" x14ac:dyDescent="0.15">
      <c r="A21" s="4" t="s">
        <v>32</v>
      </c>
      <c r="B21" s="5" t="s">
        <v>133</v>
      </c>
      <c r="C21" s="5">
        <v>6187</v>
      </c>
      <c r="D21" s="5">
        <v>1</v>
      </c>
      <c r="E21" s="5">
        <v>93382</v>
      </c>
      <c r="F21" s="5" t="s">
        <v>52</v>
      </c>
      <c r="G21" s="6"/>
      <c r="H21" s="5">
        <v>545</v>
      </c>
      <c r="I21" s="5" t="s">
        <v>35</v>
      </c>
      <c r="J21" s="5" t="s">
        <v>36</v>
      </c>
      <c r="K21" s="5" t="s">
        <v>37</v>
      </c>
      <c r="L21" s="5" t="s">
        <v>54</v>
      </c>
      <c r="M21" s="5">
        <v>221</v>
      </c>
      <c r="N21" s="5">
        <v>201</v>
      </c>
      <c r="O21" s="5">
        <v>0.99999974400000502</v>
      </c>
      <c r="P21" s="5" t="s">
        <v>55</v>
      </c>
      <c r="Q21" s="5">
        <v>384</v>
      </c>
      <c r="R21" s="5">
        <v>557385.74479999999</v>
      </c>
    </row>
    <row r="22" spans="1:18" ht="15.75" customHeight="1" x14ac:dyDescent="0.15">
      <c r="A22" s="4" t="s">
        <v>32</v>
      </c>
      <c r="B22" s="5" t="s">
        <v>133</v>
      </c>
      <c r="C22" s="5">
        <v>6187</v>
      </c>
      <c r="D22" s="5">
        <v>2</v>
      </c>
      <c r="E22" s="5">
        <v>93382</v>
      </c>
      <c r="F22" s="5" t="s">
        <v>52</v>
      </c>
      <c r="G22" s="6"/>
      <c r="H22" s="5">
        <v>545</v>
      </c>
      <c r="I22" s="5" t="s">
        <v>35</v>
      </c>
      <c r="J22" s="5" t="s">
        <v>36</v>
      </c>
      <c r="K22" s="5" t="s">
        <v>37</v>
      </c>
      <c r="L22" s="5" t="s">
        <v>54</v>
      </c>
      <c r="M22" s="5">
        <v>221</v>
      </c>
      <c r="N22" s="5">
        <v>201</v>
      </c>
      <c r="O22" s="5">
        <v>0.99999974400000502</v>
      </c>
      <c r="P22" s="5" t="s">
        <v>55</v>
      </c>
      <c r="Q22" s="5">
        <v>384</v>
      </c>
      <c r="R22" s="5">
        <v>558268.67449999996</v>
      </c>
    </row>
    <row r="23" spans="1:18" ht="15.75" customHeight="1" x14ac:dyDescent="0.15">
      <c r="A23" s="4" t="s">
        <v>32</v>
      </c>
      <c r="B23" s="5" t="s">
        <v>133</v>
      </c>
      <c r="C23" s="5">
        <v>6187</v>
      </c>
      <c r="D23" s="5">
        <v>1</v>
      </c>
      <c r="E23" s="5">
        <v>93383</v>
      </c>
      <c r="F23" s="5" t="s">
        <v>52</v>
      </c>
      <c r="G23" s="6"/>
      <c r="H23" s="5">
        <v>545</v>
      </c>
      <c r="I23" s="5" t="s">
        <v>35</v>
      </c>
      <c r="J23" s="5" t="s">
        <v>36</v>
      </c>
      <c r="K23" s="5" t="s">
        <v>37</v>
      </c>
      <c r="L23" s="5" t="s">
        <v>54</v>
      </c>
      <c r="M23" s="5">
        <v>221</v>
      </c>
      <c r="N23" s="5">
        <v>201</v>
      </c>
      <c r="O23" s="5">
        <v>0.99999974400000502</v>
      </c>
      <c r="P23" s="5" t="s">
        <v>55</v>
      </c>
      <c r="Q23" s="5">
        <v>384</v>
      </c>
      <c r="R23" s="5">
        <v>515708.96610000002</v>
      </c>
    </row>
    <row r="24" spans="1:18" ht="15.75" customHeight="1" x14ac:dyDescent="0.15">
      <c r="A24" s="4" t="s">
        <v>32</v>
      </c>
      <c r="B24" s="5" t="s">
        <v>133</v>
      </c>
      <c r="C24" s="5">
        <v>6187</v>
      </c>
      <c r="D24" s="5">
        <v>2</v>
      </c>
      <c r="E24" s="5">
        <v>93383</v>
      </c>
      <c r="F24" s="5" t="s">
        <v>52</v>
      </c>
      <c r="G24" s="6"/>
      <c r="H24" s="5">
        <v>545</v>
      </c>
      <c r="I24" s="5" t="s">
        <v>35</v>
      </c>
      <c r="J24" s="5" t="s">
        <v>36</v>
      </c>
      <c r="K24" s="5" t="s">
        <v>37</v>
      </c>
      <c r="L24" s="5" t="s">
        <v>54</v>
      </c>
      <c r="M24" s="5">
        <v>221</v>
      </c>
      <c r="N24" s="5">
        <v>201</v>
      </c>
      <c r="O24" s="5">
        <v>0.99999974400000502</v>
      </c>
      <c r="P24" s="5" t="s">
        <v>55</v>
      </c>
      <c r="Q24" s="5">
        <v>384</v>
      </c>
      <c r="R24" s="5">
        <v>556082.05989999999</v>
      </c>
    </row>
    <row r="25" spans="1:18" ht="15.75" customHeight="1" x14ac:dyDescent="0.15">
      <c r="A25" s="4" t="s">
        <v>32</v>
      </c>
      <c r="B25" s="5" t="s">
        <v>133</v>
      </c>
      <c r="C25" s="5">
        <v>6187</v>
      </c>
      <c r="D25" s="5">
        <v>1</v>
      </c>
      <c r="E25" s="5">
        <v>93384</v>
      </c>
      <c r="F25" s="5" t="s">
        <v>52</v>
      </c>
      <c r="G25" s="6"/>
      <c r="H25" s="5">
        <v>545</v>
      </c>
      <c r="I25" s="5" t="s">
        <v>35</v>
      </c>
      <c r="J25" s="5" t="s">
        <v>36</v>
      </c>
      <c r="K25" s="5" t="s">
        <v>37</v>
      </c>
      <c r="L25" s="5" t="s">
        <v>54</v>
      </c>
      <c r="M25" s="5">
        <v>221</v>
      </c>
      <c r="N25" s="5">
        <v>201</v>
      </c>
      <c r="O25" s="5">
        <v>0.99999974400000502</v>
      </c>
      <c r="P25" s="5" t="s">
        <v>55</v>
      </c>
      <c r="Q25" s="5">
        <v>384</v>
      </c>
      <c r="R25" s="5">
        <v>541942.21089999995</v>
      </c>
    </row>
    <row r="26" spans="1:18" ht="15.75" customHeight="1" x14ac:dyDescent="0.15">
      <c r="A26" s="4" t="s">
        <v>32</v>
      </c>
      <c r="B26" s="5" t="s">
        <v>133</v>
      </c>
      <c r="C26" s="5">
        <v>6187</v>
      </c>
      <c r="D26" s="5">
        <v>2</v>
      </c>
      <c r="E26" s="5">
        <v>93384</v>
      </c>
      <c r="F26" s="5" t="s">
        <v>52</v>
      </c>
      <c r="G26" s="6"/>
      <c r="H26" s="5">
        <v>545</v>
      </c>
      <c r="I26" s="5" t="s">
        <v>35</v>
      </c>
      <c r="J26" s="5" t="s">
        <v>36</v>
      </c>
      <c r="K26" s="5" t="s">
        <v>37</v>
      </c>
      <c r="L26" s="5" t="s">
        <v>54</v>
      </c>
      <c r="M26" s="5">
        <v>221</v>
      </c>
      <c r="N26" s="5">
        <v>201</v>
      </c>
      <c r="O26" s="5">
        <v>0.99999974400000502</v>
      </c>
      <c r="P26" s="5" t="s">
        <v>55</v>
      </c>
      <c r="Q26" s="5">
        <v>384</v>
      </c>
      <c r="R26" s="5">
        <v>540373.42969999998</v>
      </c>
    </row>
    <row r="27" spans="1:18" ht="15.75" customHeight="1" x14ac:dyDescent="0.15">
      <c r="A27" s="4" t="s">
        <v>32</v>
      </c>
      <c r="B27" s="5" t="s">
        <v>87</v>
      </c>
      <c r="C27" s="5">
        <v>6595</v>
      </c>
      <c r="D27" s="5">
        <v>1</v>
      </c>
      <c r="E27" s="5">
        <v>93290</v>
      </c>
      <c r="F27" s="5" t="s">
        <v>88</v>
      </c>
      <c r="G27" s="6"/>
      <c r="H27" s="5">
        <v>330</v>
      </c>
      <c r="I27" s="5" t="s">
        <v>35</v>
      </c>
      <c r="J27" s="5" t="s">
        <v>90</v>
      </c>
      <c r="K27" s="5" t="s">
        <v>37</v>
      </c>
      <c r="L27" s="5" t="s">
        <v>38</v>
      </c>
      <c r="M27" s="5">
        <v>101</v>
      </c>
      <c r="N27" s="5">
        <v>101</v>
      </c>
      <c r="O27" s="5">
        <v>0.99999993600000103</v>
      </c>
      <c r="P27" s="5" t="s">
        <v>91</v>
      </c>
      <c r="Q27" s="5">
        <v>96</v>
      </c>
      <c r="R27" s="5">
        <v>5997014.6875</v>
      </c>
    </row>
    <row r="28" spans="1:18" ht="15.75" customHeight="1" x14ac:dyDescent="0.15">
      <c r="A28" s="4" t="s">
        <v>32</v>
      </c>
      <c r="B28" s="5" t="s">
        <v>87</v>
      </c>
      <c r="C28" s="5">
        <v>6595</v>
      </c>
      <c r="D28" s="5">
        <v>2</v>
      </c>
      <c r="E28" s="5">
        <v>93290</v>
      </c>
      <c r="F28" s="5" t="s">
        <v>88</v>
      </c>
      <c r="G28" s="6"/>
      <c r="H28" s="5">
        <v>330</v>
      </c>
      <c r="I28" s="5" t="s">
        <v>35</v>
      </c>
      <c r="J28" s="5" t="s">
        <v>90</v>
      </c>
      <c r="K28" s="5" t="s">
        <v>37</v>
      </c>
      <c r="L28" s="5" t="s">
        <v>38</v>
      </c>
      <c r="M28" s="5">
        <v>101</v>
      </c>
      <c r="N28" s="5">
        <v>101</v>
      </c>
      <c r="O28" s="5">
        <v>0.99999993600000103</v>
      </c>
      <c r="P28" s="5" t="s">
        <v>91</v>
      </c>
      <c r="Q28" s="5">
        <v>96</v>
      </c>
      <c r="R28" s="5">
        <v>5997183.7396</v>
      </c>
    </row>
    <row r="29" spans="1:18" ht="15.75" customHeight="1" x14ac:dyDescent="0.15">
      <c r="A29" s="4" t="s">
        <v>32</v>
      </c>
      <c r="B29" s="5" t="s">
        <v>87</v>
      </c>
      <c r="C29" s="5">
        <v>6595</v>
      </c>
      <c r="D29" s="5">
        <v>3</v>
      </c>
      <c r="E29" s="5">
        <v>93290</v>
      </c>
      <c r="F29" s="5" t="s">
        <v>88</v>
      </c>
      <c r="G29" s="6"/>
      <c r="H29" s="5">
        <v>330</v>
      </c>
      <c r="I29" s="5" t="s">
        <v>35</v>
      </c>
      <c r="J29" s="5" t="s">
        <v>90</v>
      </c>
      <c r="K29" s="5" t="s">
        <v>37</v>
      </c>
      <c r="L29" s="5" t="s">
        <v>38</v>
      </c>
      <c r="M29" s="5">
        <v>101</v>
      </c>
      <c r="N29" s="5">
        <v>101</v>
      </c>
      <c r="O29" s="5">
        <v>0.99999993600000103</v>
      </c>
      <c r="P29" s="5" t="s">
        <v>91</v>
      </c>
      <c r="Q29" s="5">
        <v>96</v>
      </c>
      <c r="R29" s="5">
        <v>5974525.25</v>
      </c>
    </row>
    <row r="30" spans="1:18" ht="15.75" customHeight="1" x14ac:dyDescent="0.15">
      <c r="A30" s="4" t="s">
        <v>32</v>
      </c>
      <c r="B30" s="5" t="s">
        <v>87</v>
      </c>
      <c r="C30" s="5">
        <v>6595</v>
      </c>
      <c r="D30" s="5">
        <v>4</v>
      </c>
      <c r="E30" s="5">
        <v>93290</v>
      </c>
      <c r="F30" s="5" t="s">
        <v>88</v>
      </c>
      <c r="G30" s="6"/>
      <c r="H30" s="5">
        <v>330</v>
      </c>
      <c r="I30" s="5" t="s">
        <v>35</v>
      </c>
      <c r="J30" s="5" t="s">
        <v>90</v>
      </c>
      <c r="K30" s="5" t="s">
        <v>37</v>
      </c>
      <c r="L30" s="5" t="s">
        <v>38</v>
      </c>
      <c r="M30" s="5">
        <v>101</v>
      </c>
      <c r="N30" s="5">
        <v>101</v>
      </c>
      <c r="O30" s="5">
        <v>0.99999992500000101</v>
      </c>
      <c r="P30" s="5" t="s">
        <v>91</v>
      </c>
      <c r="Q30" s="5">
        <v>95</v>
      </c>
      <c r="R30" s="5">
        <v>6053394.2315999996</v>
      </c>
    </row>
    <row r="31" spans="1:18" ht="15.75" customHeight="1" x14ac:dyDescent="0.15">
      <c r="A31" s="4" t="s">
        <v>32</v>
      </c>
      <c r="B31" s="5" t="s">
        <v>87</v>
      </c>
      <c r="C31" s="5">
        <v>6595</v>
      </c>
      <c r="D31" s="5">
        <v>1</v>
      </c>
      <c r="E31" s="5">
        <v>93291</v>
      </c>
      <c r="F31" s="5" t="s">
        <v>88</v>
      </c>
      <c r="G31" s="6"/>
      <c r="H31" s="5">
        <v>330</v>
      </c>
      <c r="I31" s="5" t="s">
        <v>35</v>
      </c>
      <c r="J31" s="5" t="s">
        <v>90</v>
      </c>
      <c r="K31" s="5" t="s">
        <v>37</v>
      </c>
      <c r="L31" s="5" t="s">
        <v>38</v>
      </c>
      <c r="M31" s="5">
        <v>101</v>
      </c>
      <c r="N31" s="5">
        <v>101</v>
      </c>
      <c r="O31" s="5">
        <v>0.99999993600000103</v>
      </c>
      <c r="P31" s="5" t="s">
        <v>91</v>
      </c>
      <c r="Q31" s="5">
        <v>96</v>
      </c>
      <c r="R31" s="5">
        <v>5754118.3125</v>
      </c>
    </row>
    <row r="32" spans="1:18" ht="15.75" customHeight="1" x14ac:dyDescent="0.15">
      <c r="A32" s="4" t="s">
        <v>32</v>
      </c>
      <c r="B32" s="5" t="s">
        <v>87</v>
      </c>
      <c r="C32" s="5">
        <v>6595</v>
      </c>
      <c r="D32" s="5">
        <v>2</v>
      </c>
      <c r="E32" s="5">
        <v>93291</v>
      </c>
      <c r="F32" s="5" t="s">
        <v>88</v>
      </c>
      <c r="G32" s="6"/>
      <c r="H32" s="5">
        <v>330</v>
      </c>
      <c r="I32" s="5" t="s">
        <v>35</v>
      </c>
      <c r="J32" s="5" t="s">
        <v>90</v>
      </c>
      <c r="K32" s="5" t="s">
        <v>37</v>
      </c>
      <c r="L32" s="5" t="s">
        <v>38</v>
      </c>
      <c r="M32" s="5">
        <v>101</v>
      </c>
      <c r="N32" s="5">
        <v>101</v>
      </c>
      <c r="O32" s="5">
        <v>0.99999993600000103</v>
      </c>
      <c r="P32" s="5" t="s">
        <v>91</v>
      </c>
      <c r="Q32" s="5">
        <v>96</v>
      </c>
      <c r="R32" s="5">
        <v>5694045.5</v>
      </c>
    </row>
    <row r="33" spans="1:18" ht="15.75" customHeight="1" x14ac:dyDescent="0.15">
      <c r="A33" s="4" t="s">
        <v>32</v>
      </c>
      <c r="B33" s="5" t="s">
        <v>87</v>
      </c>
      <c r="C33" s="5">
        <v>6595</v>
      </c>
      <c r="D33" s="5">
        <v>3</v>
      </c>
      <c r="E33" s="5">
        <v>93291</v>
      </c>
      <c r="F33" s="5" t="s">
        <v>88</v>
      </c>
      <c r="G33" s="6"/>
      <c r="H33" s="5">
        <v>330</v>
      </c>
      <c r="I33" s="5" t="s">
        <v>35</v>
      </c>
      <c r="J33" s="5" t="s">
        <v>90</v>
      </c>
      <c r="K33" s="5" t="s">
        <v>37</v>
      </c>
      <c r="L33" s="5" t="s">
        <v>38</v>
      </c>
      <c r="M33" s="5">
        <v>101</v>
      </c>
      <c r="N33" s="5">
        <v>101</v>
      </c>
      <c r="O33" s="5">
        <v>0.99999993600000103</v>
      </c>
      <c r="P33" s="5" t="s">
        <v>91</v>
      </c>
      <c r="Q33" s="5">
        <v>96</v>
      </c>
      <c r="R33" s="5">
        <v>5768426.625</v>
      </c>
    </row>
    <row r="34" spans="1:18" ht="15.75" customHeight="1" x14ac:dyDescent="0.15">
      <c r="A34" s="4" t="s">
        <v>32</v>
      </c>
      <c r="B34" s="5" t="s">
        <v>87</v>
      </c>
      <c r="C34" s="5">
        <v>6595</v>
      </c>
      <c r="D34" s="5">
        <v>4</v>
      </c>
      <c r="E34" s="5">
        <v>93291</v>
      </c>
      <c r="F34" s="5" t="s">
        <v>88</v>
      </c>
      <c r="G34" s="6"/>
      <c r="H34" s="5">
        <v>330</v>
      </c>
      <c r="I34" s="5" t="s">
        <v>35</v>
      </c>
      <c r="J34" s="5" t="s">
        <v>90</v>
      </c>
      <c r="K34" s="5" t="s">
        <v>37</v>
      </c>
      <c r="L34" s="5" t="s">
        <v>38</v>
      </c>
      <c r="M34" s="5">
        <v>101</v>
      </c>
      <c r="N34" s="5">
        <v>101</v>
      </c>
      <c r="O34" s="5">
        <v>0.99999993600000103</v>
      </c>
      <c r="P34" s="5" t="s">
        <v>91</v>
      </c>
      <c r="Q34" s="5">
        <v>96</v>
      </c>
      <c r="R34" s="5">
        <v>5828642.8541999999</v>
      </c>
    </row>
    <row r="35" spans="1:18" ht="15.75" customHeight="1" x14ac:dyDescent="0.15">
      <c r="A35" s="4" t="s">
        <v>32</v>
      </c>
      <c r="B35" s="5" t="s">
        <v>87</v>
      </c>
      <c r="C35" s="5">
        <v>6595</v>
      </c>
      <c r="D35" s="5">
        <v>1</v>
      </c>
      <c r="E35" s="5">
        <v>93352</v>
      </c>
      <c r="F35" s="5" t="s">
        <v>88</v>
      </c>
      <c r="G35" s="6"/>
      <c r="H35" s="5">
        <v>330</v>
      </c>
      <c r="I35" s="5" t="s">
        <v>35</v>
      </c>
      <c r="J35" s="5" t="s">
        <v>90</v>
      </c>
      <c r="K35" s="5" t="s">
        <v>37</v>
      </c>
      <c r="L35" s="5" t="s">
        <v>38</v>
      </c>
      <c r="M35" s="5">
        <v>101</v>
      </c>
      <c r="N35" s="5">
        <v>101</v>
      </c>
      <c r="O35" s="5">
        <v>0.99999993600000103</v>
      </c>
      <c r="P35" s="5" t="s">
        <v>91</v>
      </c>
      <c r="Q35" s="5">
        <v>96</v>
      </c>
      <c r="R35" s="5">
        <v>5692371.1666999999</v>
      </c>
    </row>
    <row r="36" spans="1:18" ht="15.75" customHeight="1" x14ac:dyDescent="0.15">
      <c r="A36" s="4" t="s">
        <v>32</v>
      </c>
      <c r="B36" s="5" t="s">
        <v>87</v>
      </c>
      <c r="C36" s="5">
        <v>6595</v>
      </c>
      <c r="D36" s="5">
        <v>2</v>
      </c>
      <c r="E36" s="5">
        <v>93352</v>
      </c>
      <c r="F36" s="5" t="s">
        <v>88</v>
      </c>
      <c r="G36" s="6"/>
      <c r="H36" s="5">
        <v>330</v>
      </c>
      <c r="I36" s="5" t="s">
        <v>35</v>
      </c>
      <c r="J36" s="5" t="s">
        <v>90</v>
      </c>
      <c r="K36" s="5" t="s">
        <v>37</v>
      </c>
      <c r="L36" s="5" t="s">
        <v>38</v>
      </c>
      <c r="M36" s="5">
        <v>101</v>
      </c>
      <c r="N36" s="5">
        <v>101</v>
      </c>
      <c r="O36" s="5">
        <v>0.99999993600000103</v>
      </c>
      <c r="P36" s="5" t="s">
        <v>91</v>
      </c>
      <c r="Q36" s="5">
        <v>96</v>
      </c>
      <c r="R36" s="5">
        <v>5629780.2083000001</v>
      </c>
    </row>
    <row r="37" spans="1:18" ht="15.75" customHeight="1" x14ac:dyDescent="0.15">
      <c r="A37" s="4" t="s">
        <v>32</v>
      </c>
      <c r="B37" s="5" t="s">
        <v>87</v>
      </c>
      <c r="C37" s="5">
        <v>6595</v>
      </c>
      <c r="D37" s="5">
        <v>3</v>
      </c>
      <c r="E37" s="5">
        <v>93352</v>
      </c>
      <c r="F37" s="5" t="s">
        <v>88</v>
      </c>
      <c r="G37" s="6"/>
      <c r="H37" s="5">
        <v>330</v>
      </c>
      <c r="I37" s="5" t="s">
        <v>35</v>
      </c>
      <c r="J37" s="5" t="s">
        <v>90</v>
      </c>
      <c r="K37" s="5" t="s">
        <v>37</v>
      </c>
      <c r="L37" s="5" t="s">
        <v>38</v>
      </c>
      <c r="M37" s="5">
        <v>101</v>
      </c>
      <c r="N37" s="5">
        <v>101</v>
      </c>
      <c r="O37" s="5">
        <v>0.99999993600000103</v>
      </c>
      <c r="P37" s="5" t="s">
        <v>91</v>
      </c>
      <c r="Q37" s="5">
        <v>96</v>
      </c>
      <c r="R37" s="5">
        <v>5948098.5729</v>
      </c>
    </row>
    <row r="38" spans="1:18" ht="15.75" customHeight="1" x14ac:dyDescent="0.15">
      <c r="A38" s="4" t="s">
        <v>32</v>
      </c>
      <c r="B38" s="5" t="s">
        <v>112</v>
      </c>
      <c r="C38" s="5">
        <v>6595</v>
      </c>
      <c r="D38" s="5">
        <v>4</v>
      </c>
      <c r="E38" s="5">
        <v>93352</v>
      </c>
      <c r="F38" s="5" t="s">
        <v>88</v>
      </c>
      <c r="G38" s="6"/>
      <c r="H38" s="5">
        <v>330</v>
      </c>
      <c r="I38" s="5" t="s">
        <v>35</v>
      </c>
      <c r="J38" s="5" t="s">
        <v>90</v>
      </c>
      <c r="K38" s="5" t="s">
        <v>37</v>
      </c>
      <c r="L38" s="5" t="s">
        <v>38</v>
      </c>
      <c r="M38" s="5">
        <v>101</v>
      </c>
      <c r="N38" s="5">
        <v>101</v>
      </c>
      <c r="O38" s="5">
        <v>0.99999993600000103</v>
      </c>
      <c r="P38" s="5" t="s">
        <v>91</v>
      </c>
      <c r="Q38" s="5">
        <v>96</v>
      </c>
      <c r="R38" s="5">
        <v>5879089.7291999999</v>
      </c>
    </row>
    <row r="39" spans="1:18" ht="15.75" customHeight="1" x14ac:dyDescent="0.15">
      <c r="A39" s="4" t="s">
        <v>117</v>
      </c>
      <c r="B39" s="5" t="s">
        <v>33</v>
      </c>
      <c r="C39" s="5">
        <v>2984</v>
      </c>
      <c r="D39" s="5">
        <v>1</v>
      </c>
      <c r="E39" s="5">
        <v>93010</v>
      </c>
      <c r="F39" s="5" t="s">
        <v>118</v>
      </c>
      <c r="G39" s="5" t="s">
        <v>119</v>
      </c>
      <c r="H39" s="6"/>
      <c r="I39" s="6"/>
      <c r="J39" s="6"/>
      <c r="K39" s="6"/>
      <c r="L39" s="6"/>
      <c r="M39" s="6"/>
      <c r="N39" s="6"/>
      <c r="O39" s="5">
        <v>0.99999999900000103</v>
      </c>
      <c r="P39" s="5" t="s">
        <v>39</v>
      </c>
      <c r="Q39" s="5">
        <v>37</v>
      </c>
      <c r="R39" s="5">
        <v>126135.2162</v>
      </c>
    </row>
    <row r="40" spans="1:18" ht="15.75" customHeight="1" x14ac:dyDescent="0.15">
      <c r="A40" s="4" t="s">
        <v>117</v>
      </c>
      <c r="B40" s="5" t="s">
        <v>33</v>
      </c>
      <c r="C40" s="5">
        <v>2984</v>
      </c>
      <c r="D40" s="5">
        <v>1</v>
      </c>
      <c r="E40" s="5">
        <v>93080</v>
      </c>
      <c r="F40" s="5" t="s">
        <v>118</v>
      </c>
      <c r="G40" s="5" t="s">
        <v>119</v>
      </c>
      <c r="H40" s="6"/>
      <c r="I40" s="6"/>
      <c r="J40" s="6"/>
      <c r="K40" s="6"/>
      <c r="L40" s="6"/>
      <c r="M40" s="6"/>
      <c r="N40" s="6"/>
      <c r="O40" s="5">
        <v>0.99999998700000103</v>
      </c>
      <c r="P40" s="5" t="s">
        <v>39</v>
      </c>
      <c r="Q40" s="5">
        <v>49</v>
      </c>
      <c r="R40" s="5">
        <v>98693.367299999998</v>
      </c>
    </row>
    <row r="41" spans="1:18" ht="15.75" customHeight="1" x14ac:dyDescent="0.15">
      <c r="A41" s="4" t="s">
        <v>32</v>
      </c>
      <c r="B41" s="5" t="s">
        <v>33</v>
      </c>
      <c r="C41" s="5">
        <v>2984</v>
      </c>
      <c r="D41" s="5">
        <v>4</v>
      </c>
      <c r="E41" s="5">
        <v>93296</v>
      </c>
      <c r="F41" s="5" t="s">
        <v>118</v>
      </c>
      <c r="G41" s="6"/>
      <c r="H41" s="5">
        <v>338</v>
      </c>
      <c r="I41" s="5" t="s">
        <v>35</v>
      </c>
      <c r="J41" s="5" t="s">
        <v>36</v>
      </c>
      <c r="K41" s="5" t="s">
        <v>37</v>
      </c>
      <c r="L41" s="5" t="s">
        <v>38</v>
      </c>
      <c r="M41" s="5">
        <v>151</v>
      </c>
      <c r="N41" s="5">
        <v>151</v>
      </c>
      <c r="O41" s="5">
        <v>0.84482757100000005</v>
      </c>
      <c r="P41" s="5" t="s">
        <v>39</v>
      </c>
      <c r="Q41" s="5">
        <v>49</v>
      </c>
      <c r="R41" s="5">
        <v>10942318.020400001</v>
      </c>
    </row>
    <row r="42" spans="1:18" ht="15.75" customHeight="1" x14ac:dyDescent="0.15">
      <c r="A42" s="4" t="s">
        <v>32</v>
      </c>
      <c r="B42" s="5" t="s">
        <v>120</v>
      </c>
      <c r="C42" s="5">
        <v>6778</v>
      </c>
      <c r="D42" s="5">
        <v>1</v>
      </c>
      <c r="E42" s="5">
        <v>93242</v>
      </c>
      <c r="F42" s="5" t="s">
        <v>121</v>
      </c>
      <c r="G42" s="6"/>
      <c r="H42" s="5">
        <v>338</v>
      </c>
      <c r="I42" s="5" t="s">
        <v>35</v>
      </c>
      <c r="J42" s="5" t="s">
        <v>36</v>
      </c>
      <c r="K42" s="5" t="s">
        <v>123</v>
      </c>
      <c r="L42" s="5" t="s">
        <v>38</v>
      </c>
      <c r="M42" s="5">
        <v>151</v>
      </c>
      <c r="N42" s="5">
        <v>151</v>
      </c>
      <c r="O42" s="5">
        <v>1</v>
      </c>
      <c r="P42" s="5" t="s">
        <v>91</v>
      </c>
      <c r="Q42" s="5">
        <v>25</v>
      </c>
      <c r="R42" s="6"/>
    </row>
    <row r="43" spans="1:18" ht="15.75" customHeight="1" x14ac:dyDescent="0.15">
      <c r="A43" s="4" t="s">
        <v>32</v>
      </c>
      <c r="B43" s="5" t="s">
        <v>120</v>
      </c>
      <c r="C43" s="5">
        <v>6778</v>
      </c>
      <c r="D43" s="5">
        <v>2</v>
      </c>
      <c r="E43" s="5">
        <v>93242</v>
      </c>
      <c r="F43" s="5" t="s">
        <v>121</v>
      </c>
      <c r="G43" s="6"/>
      <c r="H43" s="5">
        <v>338</v>
      </c>
      <c r="I43" s="5" t="s">
        <v>35</v>
      </c>
      <c r="J43" s="5" t="s">
        <v>36</v>
      </c>
      <c r="K43" s="5" t="s">
        <v>123</v>
      </c>
      <c r="L43" s="5" t="s">
        <v>38</v>
      </c>
      <c r="M43" s="5">
        <v>151</v>
      </c>
      <c r="N43" s="5">
        <v>151</v>
      </c>
      <c r="O43" s="5">
        <v>1</v>
      </c>
      <c r="P43" s="5" t="s">
        <v>91</v>
      </c>
      <c r="Q43" s="5">
        <v>25</v>
      </c>
      <c r="R43" s="6"/>
    </row>
    <row r="44" spans="1:18" ht="15.75" customHeight="1" x14ac:dyDescent="0.15">
      <c r="A44" s="4" t="s">
        <v>32</v>
      </c>
      <c r="B44" s="5" t="s">
        <v>120</v>
      </c>
      <c r="C44" s="5">
        <v>6778</v>
      </c>
      <c r="D44" s="5">
        <v>3</v>
      </c>
      <c r="E44" s="5">
        <v>93242</v>
      </c>
      <c r="F44" s="5" t="s">
        <v>121</v>
      </c>
      <c r="G44" s="6"/>
      <c r="H44" s="5">
        <v>338</v>
      </c>
      <c r="I44" s="5" t="s">
        <v>35</v>
      </c>
      <c r="J44" s="5" t="s">
        <v>36</v>
      </c>
      <c r="K44" s="5" t="s">
        <v>123</v>
      </c>
      <c r="L44" s="5" t="s">
        <v>38</v>
      </c>
      <c r="M44" s="5">
        <v>151</v>
      </c>
      <c r="N44" s="5">
        <v>151</v>
      </c>
      <c r="O44" s="5">
        <v>1</v>
      </c>
      <c r="P44" s="5" t="s">
        <v>91</v>
      </c>
      <c r="Q44" s="5">
        <v>25</v>
      </c>
      <c r="R44" s="6"/>
    </row>
    <row r="45" spans="1:18" ht="15.75" customHeight="1" x14ac:dyDescent="0.15">
      <c r="A45" s="4" t="s">
        <v>32</v>
      </c>
      <c r="B45" s="5" t="s">
        <v>120</v>
      </c>
      <c r="C45" s="5">
        <v>6778</v>
      </c>
      <c r="D45" s="5">
        <v>4</v>
      </c>
      <c r="E45" s="5">
        <v>93242</v>
      </c>
      <c r="F45" s="5" t="s">
        <v>121</v>
      </c>
      <c r="G45" s="6"/>
      <c r="H45" s="5">
        <v>338</v>
      </c>
      <c r="I45" s="5" t="s">
        <v>35</v>
      </c>
      <c r="J45" s="5" t="s">
        <v>36</v>
      </c>
      <c r="K45" s="5" t="s">
        <v>123</v>
      </c>
      <c r="L45" s="5" t="s">
        <v>38</v>
      </c>
      <c r="M45" s="5">
        <v>151</v>
      </c>
      <c r="N45" s="5">
        <v>151</v>
      </c>
      <c r="O45" s="5">
        <v>1</v>
      </c>
      <c r="P45" s="5" t="s">
        <v>91</v>
      </c>
      <c r="Q45" s="5">
        <v>25</v>
      </c>
      <c r="R45" s="6"/>
    </row>
    <row r="46" spans="1:18" ht="15.75" customHeight="1" x14ac:dyDescent="0.15">
      <c r="A46" s="4" t="s">
        <v>32</v>
      </c>
      <c r="B46" s="5" t="s">
        <v>133</v>
      </c>
      <c r="C46" s="5">
        <v>6940</v>
      </c>
      <c r="D46" s="5">
        <v>1</v>
      </c>
      <c r="E46" s="5">
        <v>93379</v>
      </c>
      <c r="F46" s="5" t="s">
        <v>128</v>
      </c>
      <c r="G46" s="6"/>
      <c r="H46" s="5">
        <v>545</v>
      </c>
      <c r="I46" s="5" t="s">
        <v>35</v>
      </c>
      <c r="J46" s="5" t="s">
        <v>36</v>
      </c>
      <c r="K46" s="5" t="s">
        <v>37</v>
      </c>
      <c r="L46" s="5" t="s">
        <v>54</v>
      </c>
      <c r="M46" s="5">
        <v>221</v>
      </c>
      <c r="N46" s="5">
        <v>201</v>
      </c>
      <c r="O46" s="5">
        <v>0.99999974400000502</v>
      </c>
      <c r="P46" s="5" t="s">
        <v>55</v>
      </c>
      <c r="Q46" s="5">
        <v>384</v>
      </c>
      <c r="R46" s="5">
        <v>565047.61719999998</v>
      </c>
    </row>
    <row r="47" spans="1:18" ht="15.75" customHeight="1" x14ac:dyDescent="0.15">
      <c r="A47" s="4" t="s">
        <v>32</v>
      </c>
      <c r="B47" s="5" t="s">
        <v>133</v>
      </c>
      <c r="C47" s="5">
        <v>6940</v>
      </c>
      <c r="D47" s="5">
        <v>2</v>
      </c>
      <c r="E47" s="5">
        <v>93379</v>
      </c>
      <c r="F47" s="5" t="s">
        <v>128</v>
      </c>
      <c r="G47" s="6"/>
      <c r="H47" s="5">
        <v>545</v>
      </c>
      <c r="I47" s="5" t="s">
        <v>35</v>
      </c>
      <c r="J47" s="5" t="s">
        <v>36</v>
      </c>
      <c r="K47" s="5" t="s">
        <v>37</v>
      </c>
      <c r="L47" s="5" t="s">
        <v>54</v>
      </c>
      <c r="M47" s="5">
        <v>221</v>
      </c>
      <c r="N47" s="5">
        <v>201</v>
      </c>
      <c r="O47" s="5">
        <v>0.99999974400000502</v>
      </c>
      <c r="P47" s="5" t="s">
        <v>55</v>
      </c>
      <c r="Q47" s="5">
        <v>384</v>
      </c>
      <c r="R47" s="5">
        <v>561630.69790000003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2"/>
  <sheetViews>
    <sheetView showGridLines="0" workbookViewId="0">
      <selection activeCell="G29" sqref="G29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134</v>
      </c>
      <c r="F1" s="1" t="s">
        <v>135</v>
      </c>
      <c r="J1" s="1" t="s">
        <v>136</v>
      </c>
    </row>
    <row r="2" spans="1:10" ht="15.75" customHeight="1" x14ac:dyDescent="0.15">
      <c r="A2" s="7" t="s">
        <v>14</v>
      </c>
      <c r="B2" s="7" t="s">
        <v>15</v>
      </c>
      <c r="C2" s="8" t="s">
        <v>137</v>
      </c>
      <c r="F2" s="7" t="s">
        <v>14</v>
      </c>
      <c r="G2" s="7" t="s">
        <v>15</v>
      </c>
      <c r="H2" s="8" t="s">
        <v>137</v>
      </c>
    </row>
    <row r="3" spans="1:10" ht="15.75" customHeight="1" x14ac:dyDescent="0.15">
      <c r="A3" s="9" t="s">
        <v>33</v>
      </c>
      <c r="B3" s="9">
        <v>2984</v>
      </c>
      <c r="C3" s="17">
        <v>2.8448275570000003</v>
      </c>
      <c r="F3" s="9" t="s">
        <v>33</v>
      </c>
      <c r="G3" s="9">
        <v>2984</v>
      </c>
      <c r="H3" s="17">
        <v>2.8448275570000021</v>
      </c>
      <c r="J3" s="1" t="b">
        <f t="shared" ref="J3:J12" si="0">ROUND(C3,6)=ROUND(H3,6)</f>
        <v>1</v>
      </c>
    </row>
    <row r="4" spans="1:10" ht="15.75" customHeight="1" x14ac:dyDescent="0.15">
      <c r="A4" s="10"/>
      <c r="B4" s="11">
        <v>7068</v>
      </c>
      <c r="C4" s="18">
        <v>1.7241379000000001E-2</v>
      </c>
      <c r="F4" s="10"/>
      <c r="G4" s="11">
        <v>7068</v>
      </c>
      <c r="H4" s="18">
        <v>1.7241379000000001E-2</v>
      </c>
      <c r="J4" s="1" t="b">
        <f t="shared" si="0"/>
        <v>1</v>
      </c>
    </row>
    <row r="5" spans="1:10" ht="15.75" customHeight="1" x14ac:dyDescent="0.15">
      <c r="A5" s="10"/>
      <c r="B5" s="11">
        <v>7069</v>
      </c>
      <c r="C5" s="18">
        <v>0.13793103200000001</v>
      </c>
      <c r="F5" s="10"/>
      <c r="G5" s="11">
        <v>7069</v>
      </c>
      <c r="H5" s="18">
        <v>0.13793103200000001</v>
      </c>
      <c r="J5" s="1" t="b">
        <f t="shared" si="0"/>
        <v>1</v>
      </c>
    </row>
    <row r="6" spans="1:10" ht="15.75" customHeight="1" x14ac:dyDescent="0.15">
      <c r="A6" s="9" t="s">
        <v>120</v>
      </c>
      <c r="B6" s="9">
        <v>6778</v>
      </c>
      <c r="C6" s="17">
        <v>3.99999986</v>
      </c>
      <c r="F6" s="9" t="s">
        <v>120</v>
      </c>
      <c r="G6" s="9">
        <v>6778</v>
      </c>
      <c r="H6" s="17">
        <v>4</v>
      </c>
      <c r="J6" s="1" t="b">
        <f t="shared" si="0"/>
        <v>1</v>
      </c>
    </row>
    <row r="7" spans="1:10" ht="15.75" customHeight="1" x14ac:dyDescent="0.15">
      <c r="A7" s="9" t="s">
        <v>48</v>
      </c>
      <c r="B7" s="9">
        <v>6644</v>
      </c>
      <c r="C7" s="17">
        <v>2</v>
      </c>
      <c r="F7" s="9" t="s">
        <v>48</v>
      </c>
      <c r="G7" s="9">
        <v>6644</v>
      </c>
      <c r="H7" s="17">
        <v>2</v>
      </c>
      <c r="J7" s="1" t="b">
        <f t="shared" si="0"/>
        <v>1</v>
      </c>
    </row>
    <row r="8" spans="1:10" ht="15.75" customHeight="1" x14ac:dyDescent="0.15">
      <c r="A8" s="9" t="s">
        <v>87</v>
      </c>
      <c r="B8" s="9">
        <v>6595</v>
      </c>
      <c r="C8" s="17">
        <v>10.999999284999991</v>
      </c>
      <c r="F8" s="9" t="s">
        <v>87</v>
      </c>
      <c r="G8" s="9">
        <v>6595</v>
      </c>
      <c r="H8" s="17">
        <v>10.999999285000014</v>
      </c>
      <c r="J8" s="1" t="b">
        <f t="shared" si="0"/>
        <v>1</v>
      </c>
    </row>
    <row r="9" spans="1:10" ht="15.75" customHeight="1" x14ac:dyDescent="0.15">
      <c r="A9" s="9" t="s">
        <v>41</v>
      </c>
      <c r="B9" s="9">
        <v>6423</v>
      </c>
      <c r="C9" s="17">
        <v>10.999999907999996</v>
      </c>
      <c r="F9" s="9" t="s">
        <v>41</v>
      </c>
      <c r="G9" s="9">
        <v>6423</v>
      </c>
      <c r="H9" s="17">
        <v>10.999999908000003</v>
      </c>
      <c r="J9" s="1" t="b">
        <f t="shared" si="0"/>
        <v>1</v>
      </c>
    </row>
    <row r="10" spans="1:10" ht="15.75" customHeight="1" x14ac:dyDescent="0.15">
      <c r="A10" s="9" t="s">
        <v>112</v>
      </c>
      <c r="B10" s="9">
        <v>6595</v>
      </c>
      <c r="C10" s="17">
        <v>0.99999993599999704</v>
      </c>
      <c r="F10" s="9" t="s">
        <v>112</v>
      </c>
      <c r="G10" s="9">
        <v>6595</v>
      </c>
      <c r="H10" s="17">
        <v>0.99999993600000103</v>
      </c>
      <c r="J10" s="1" t="b">
        <f t="shared" si="0"/>
        <v>1</v>
      </c>
    </row>
    <row r="11" spans="1:10" ht="15.75" customHeight="1" x14ac:dyDescent="0.15">
      <c r="A11" s="9" t="s">
        <v>51</v>
      </c>
      <c r="B11" s="9">
        <v>6187</v>
      </c>
      <c r="C11" s="17">
        <v>9.9999976779999606</v>
      </c>
      <c r="F11" s="9" t="s">
        <v>133</v>
      </c>
      <c r="G11" s="9">
        <v>6187</v>
      </c>
      <c r="H11" s="17">
        <v>9.9999976780000406</v>
      </c>
      <c r="J11" s="1" t="b">
        <f t="shared" si="0"/>
        <v>1</v>
      </c>
    </row>
    <row r="12" spans="1:10" ht="15.75" customHeight="1" x14ac:dyDescent="0.15">
      <c r="A12" s="12"/>
      <c r="B12" s="13">
        <v>6940</v>
      </c>
      <c r="C12" s="19">
        <v>1.9999994879999918</v>
      </c>
      <c r="F12" s="12"/>
      <c r="G12" s="13">
        <v>6940</v>
      </c>
      <c r="H12" s="19">
        <v>1.99999948800001</v>
      </c>
      <c r="J12" s="1" t="b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6" max="6" width="23.6640625" customWidth="1"/>
  </cols>
  <sheetData>
    <row r="1" spans="1:18" ht="15.75" customHeight="1" x14ac:dyDescent="0.1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</row>
    <row r="2" spans="1:18" ht="15.75" customHeight="1" x14ac:dyDescent="0.15">
      <c r="A2" s="4" t="s">
        <v>32</v>
      </c>
      <c r="B2" s="5" t="s">
        <v>33</v>
      </c>
      <c r="C2" s="5">
        <v>7068</v>
      </c>
      <c r="D2" s="5">
        <v>4</v>
      </c>
      <c r="E2" s="5">
        <v>93296</v>
      </c>
      <c r="F2" s="5" t="s">
        <v>34</v>
      </c>
      <c r="G2" s="6"/>
      <c r="H2" s="5">
        <v>338</v>
      </c>
      <c r="I2" s="5" t="s">
        <v>35</v>
      </c>
      <c r="J2" s="5" t="s">
        <v>36</v>
      </c>
      <c r="K2" s="5" t="s">
        <v>37</v>
      </c>
      <c r="L2" s="5" t="s">
        <v>38</v>
      </c>
      <c r="M2" s="5">
        <v>151</v>
      </c>
      <c r="N2" s="5">
        <v>151</v>
      </c>
      <c r="O2" s="5">
        <v>1.7241379000000001E-2</v>
      </c>
      <c r="P2" s="5" t="s">
        <v>39</v>
      </c>
      <c r="Q2" s="5">
        <v>1</v>
      </c>
      <c r="R2" s="5">
        <v>290498475</v>
      </c>
    </row>
    <row r="3" spans="1:18" ht="15.75" customHeight="1" x14ac:dyDescent="0.15">
      <c r="A3" s="4" t="s">
        <v>32</v>
      </c>
      <c r="B3" s="5" t="s">
        <v>33</v>
      </c>
      <c r="C3" s="5">
        <v>7069</v>
      </c>
      <c r="D3" s="5">
        <v>4</v>
      </c>
      <c r="E3" s="5">
        <v>93296</v>
      </c>
      <c r="F3" s="5" t="s">
        <v>40</v>
      </c>
      <c r="G3" s="6"/>
      <c r="H3" s="5">
        <v>338</v>
      </c>
      <c r="I3" s="5" t="s">
        <v>35</v>
      </c>
      <c r="J3" s="5" t="s">
        <v>36</v>
      </c>
      <c r="K3" s="5" t="s">
        <v>37</v>
      </c>
      <c r="L3" s="5" t="s">
        <v>38</v>
      </c>
      <c r="M3" s="5">
        <v>151</v>
      </c>
      <c r="N3" s="5">
        <v>151</v>
      </c>
      <c r="O3" s="5">
        <v>0.13793103200000001</v>
      </c>
      <c r="P3" s="5" t="s">
        <v>39</v>
      </c>
      <c r="Q3" s="5">
        <v>8</v>
      </c>
      <c r="R3" s="5">
        <v>934583.75</v>
      </c>
    </row>
    <row r="4" spans="1:18" ht="15.75" customHeight="1" x14ac:dyDescent="0.15">
      <c r="A4" s="4" t="s">
        <v>32</v>
      </c>
      <c r="B4" s="5" t="s">
        <v>41</v>
      </c>
      <c r="C4" s="5">
        <v>6423</v>
      </c>
      <c r="D4" s="5">
        <v>1</v>
      </c>
      <c r="E4" s="5">
        <v>93294</v>
      </c>
      <c r="F4" s="5" t="s">
        <v>42</v>
      </c>
      <c r="G4" s="6"/>
      <c r="H4" s="5">
        <v>338</v>
      </c>
      <c r="I4" s="5" t="s">
        <v>35</v>
      </c>
      <c r="J4" s="5" t="s">
        <v>36</v>
      </c>
      <c r="K4" s="5" t="s">
        <v>37</v>
      </c>
      <c r="L4" s="5" t="s">
        <v>38</v>
      </c>
      <c r="M4" s="5">
        <v>151</v>
      </c>
      <c r="N4" s="5">
        <v>151</v>
      </c>
      <c r="O4" s="5">
        <v>1</v>
      </c>
      <c r="P4" s="5" t="s">
        <v>44</v>
      </c>
      <c r="Q4" s="5">
        <v>16</v>
      </c>
      <c r="R4" s="5">
        <v>53789815.3125</v>
      </c>
    </row>
    <row r="5" spans="1:18" ht="15.75" customHeight="1" x14ac:dyDescent="0.15">
      <c r="A5" s="4" t="s">
        <v>32</v>
      </c>
      <c r="B5" s="5" t="s">
        <v>41</v>
      </c>
      <c r="C5" s="5">
        <v>6423</v>
      </c>
      <c r="D5" s="5">
        <v>2</v>
      </c>
      <c r="E5" s="5">
        <v>93294</v>
      </c>
      <c r="F5" s="5" t="s">
        <v>42</v>
      </c>
      <c r="G5" s="6"/>
      <c r="H5" s="5">
        <v>338</v>
      </c>
      <c r="I5" s="5" t="s">
        <v>35</v>
      </c>
      <c r="J5" s="5" t="s">
        <v>36</v>
      </c>
      <c r="K5" s="5" t="s">
        <v>37</v>
      </c>
      <c r="L5" s="5" t="s">
        <v>38</v>
      </c>
      <c r="M5" s="5">
        <v>151</v>
      </c>
      <c r="N5" s="5">
        <v>151</v>
      </c>
      <c r="O5" s="5">
        <v>0.99999998999999995</v>
      </c>
      <c r="P5" s="5" t="s">
        <v>44</v>
      </c>
      <c r="Q5" s="5">
        <v>22</v>
      </c>
      <c r="R5" s="5">
        <v>38883371.045500003</v>
      </c>
    </row>
    <row r="6" spans="1:18" ht="15.75" customHeight="1" x14ac:dyDescent="0.15">
      <c r="A6" s="4" t="s">
        <v>32</v>
      </c>
      <c r="B6" s="5" t="s">
        <v>41</v>
      </c>
      <c r="C6" s="5">
        <v>6423</v>
      </c>
      <c r="D6" s="5">
        <v>3</v>
      </c>
      <c r="E6" s="5">
        <v>93294</v>
      </c>
      <c r="F6" s="5" t="s">
        <v>42</v>
      </c>
      <c r="G6" s="6"/>
      <c r="H6" s="5">
        <v>338</v>
      </c>
      <c r="I6" s="5" t="s">
        <v>35</v>
      </c>
      <c r="J6" s="5" t="s">
        <v>36</v>
      </c>
      <c r="K6" s="5" t="s">
        <v>37</v>
      </c>
      <c r="L6" s="5" t="s">
        <v>38</v>
      </c>
      <c r="M6" s="5">
        <v>151</v>
      </c>
      <c r="N6" s="5">
        <v>151</v>
      </c>
      <c r="O6" s="5">
        <v>0.99999998999999995</v>
      </c>
      <c r="P6" s="5" t="s">
        <v>44</v>
      </c>
      <c r="Q6" s="5">
        <v>22</v>
      </c>
      <c r="R6" s="5">
        <v>39057516.272699997</v>
      </c>
    </row>
    <row r="7" spans="1:18" ht="15.75" customHeight="1" x14ac:dyDescent="0.15">
      <c r="A7" s="4" t="s">
        <v>32</v>
      </c>
      <c r="B7" s="5" t="s">
        <v>41</v>
      </c>
      <c r="C7" s="5">
        <v>6423</v>
      </c>
      <c r="D7" s="5">
        <v>4</v>
      </c>
      <c r="E7" s="5">
        <v>93294</v>
      </c>
      <c r="F7" s="5" t="s">
        <v>42</v>
      </c>
      <c r="G7" s="6"/>
      <c r="H7" s="5">
        <v>338</v>
      </c>
      <c r="I7" s="5" t="s">
        <v>35</v>
      </c>
      <c r="J7" s="5" t="s">
        <v>36</v>
      </c>
      <c r="K7" s="5" t="s">
        <v>37</v>
      </c>
      <c r="L7" s="5" t="s">
        <v>38</v>
      </c>
      <c r="M7" s="5">
        <v>151</v>
      </c>
      <c r="N7" s="5">
        <v>151</v>
      </c>
      <c r="O7" s="5">
        <v>0.99999998999999995</v>
      </c>
      <c r="P7" s="5" t="s">
        <v>44</v>
      </c>
      <c r="Q7" s="5">
        <v>22</v>
      </c>
      <c r="R7" s="5">
        <v>39177371.636399999</v>
      </c>
    </row>
    <row r="8" spans="1:18" ht="15.75" customHeight="1" x14ac:dyDescent="0.15">
      <c r="A8" s="4" t="s">
        <v>32</v>
      </c>
      <c r="B8" s="5" t="s">
        <v>41</v>
      </c>
      <c r="C8" s="5">
        <v>6423</v>
      </c>
      <c r="D8" s="5">
        <v>1</v>
      </c>
      <c r="E8" s="5">
        <v>93295</v>
      </c>
      <c r="F8" s="5" t="s">
        <v>42</v>
      </c>
      <c r="G8" s="6"/>
      <c r="H8" s="5">
        <v>338</v>
      </c>
      <c r="I8" s="5" t="s">
        <v>35</v>
      </c>
      <c r="J8" s="5" t="s">
        <v>36</v>
      </c>
      <c r="K8" s="5" t="s">
        <v>37</v>
      </c>
      <c r="L8" s="5" t="s">
        <v>38</v>
      </c>
      <c r="M8" s="5">
        <v>151</v>
      </c>
      <c r="N8" s="5">
        <v>151</v>
      </c>
      <c r="O8" s="5">
        <v>0.99999998800000001</v>
      </c>
      <c r="P8" s="5" t="s">
        <v>44</v>
      </c>
      <c r="Q8" s="5">
        <v>26</v>
      </c>
      <c r="R8" s="5">
        <v>34186340.153800003</v>
      </c>
    </row>
    <row r="9" spans="1:18" ht="15.75" customHeight="1" x14ac:dyDescent="0.15">
      <c r="A9" s="4" t="s">
        <v>32</v>
      </c>
      <c r="B9" s="5" t="s">
        <v>41</v>
      </c>
      <c r="C9" s="5">
        <v>6423</v>
      </c>
      <c r="D9" s="5">
        <v>2</v>
      </c>
      <c r="E9" s="5">
        <v>93295</v>
      </c>
      <c r="F9" s="5" t="s">
        <v>42</v>
      </c>
      <c r="G9" s="6"/>
      <c r="H9" s="5">
        <v>338</v>
      </c>
      <c r="I9" s="5" t="s">
        <v>35</v>
      </c>
      <c r="J9" s="5" t="s">
        <v>36</v>
      </c>
      <c r="K9" s="5" t="s">
        <v>37</v>
      </c>
      <c r="L9" s="5" t="s">
        <v>38</v>
      </c>
      <c r="M9" s="5">
        <v>151</v>
      </c>
      <c r="N9" s="5">
        <v>151</v>
      </c>
      <c r="O9" s="5">
        <v>0.99999998800000001</v>
      </c>
      <c r="P9" s="5" t="s">
        <v>44</v>
      </c>
      <c r="Q9" s="5">
        <v>13</v>
      </c>
      <c r="R9" s="5">
        <v>67276806.923099995</v>
      </c>
    </row>
    <row r="10" spans="1:18" ht="15.75" customHeight="1" x14ac:dyDescent="0.15">
      <c r="A10" s="4" t="s">
        <v>32</v>
      </c>
      <c r="B10" s="5" t="s">
        <v>41</v>
      </c>
      <c r="C10" s="5">
        <v>6423</v>
      </c>
      <c r="D10" s="5">
        <v>3</v>
      </c>
      <c r="E10" s="5">
        <v>93295</v>
      </c>
      <c r="F10" s="5" t="s">
        <v>42</v>
      </c>
      <c r="G10" s="6"/>
      <c r="H10" s="5">
        <v>338</v>
      </c>
      <c r="I10" s="5" t="s">
        <v>35</v>
      </c>
      <c r="J10" s="5" t="s">
        <v>36</v>
      </c>
      <c r="K10" s="5" t="s">
        <v>37</v>
      </c>
      <c r="L10" s="5" t="s">
        <v>38</v>
      </c>
      <c r="M10" s="5">
        <v>151</v>
      </c>
      <c r="N10" s="5">
        <v>151</v>
      </c>
      <c r="O10" s="5">
        <v>0.99999999299999998</v>
      </c>
      <c r="P10" s="5" t="s">
        <v>44</v>
      </c>
      <c r="Q10" s="5">
        <v>17</v>
      </c>
      <c r="R10" s="5">
        <v>49678904.705899999</v>
      </c>
    </row>
    <row r="11" spans="1:18" ht="15.75" customHeight="1" x14ac:dyDescent="0.15">
      <c r="A11" s="4" t="s">
        <v>32</v>
      </c>
      <c r="B11" s="5" t="s">
        <v>41</v>
      </c>
      <c r="C11" s="5">
        <v>6423</v>
      </c>
      <c r="D11" s="5">
        <v>4</v>
      </c>
      <c r="E11" s="5">
        <v>93295</v>
      </c>
      <c r="F11" s="5" t="s">
        <v>42</v>
      </c>
      <c r="G11" s="6"/>
      <c r="H11" s="5">
        <v>338</v>
      </c>
      <c r="I11" s="5" t="s">
        <v>35</v>
      </c>
      <c r="J11" s="5" t="s">
        <v>36</v>
      </c>
      <c r="K11" s="5" t="s">
        <v>37</v>
      </c>
      <c r="L11" s="5" t="s">
        <v>38</v>
      </c>
      <c r="M11" s="5">
        <v>151</v>
      </c>
      <c r="N11" s="5">
        <v>151</v>
      </c>
      <c r="O11" s="5">
        <v>0.99999999299999998</v>
      </c>
      <c r="P11" s="5" t="s">
        <v>44</v>
      </c>
      <c r="Q11" s="5">
        <v>17</v>
      </c>
      <c r="R11" s="5">
        <v>50940391.588200003</v>
      </c>
    </row>
    <row r="12" spans="1:18" ht="15.75" customHeight="1" x14ac:dyDescent="0.15">
      <c r="A12" s="4" t="s">
        <v>32</v>
      </c>
      <c r="B12" s="5" t="s">
        <v>41</v>
      </c>
      <c r="C12" s="5">
        <v>6423</v>
      </c>
      <c r="D12" s="5">
        <v>1</v>
      </c>
      <c r="E12" s="5">
        <v>93296</v>
      </c>
      <c r="F12" s="5" t="s">
        <v>42</v>
      </c>
      <c r="G12" s="6"/>
      <c r="H12" s="5">
        <v>338</v>
      </c>
      <c r="I12" s="5" t="s">
        <v>35</v>
      </c>
      <c r="J12" s="5" t="s">
        <v>36</v>
      </c>
      <c r="K12" s="5" t="s">
        <v>37</v>
      </c>
      <c r="L12" s="5" t="s">
        <v>38</v>
      </c>
      <c r="M12" s="5">
        <v>151</v>
      </c>
      <c r="N12" s="5">
        <v>151</v>
      </c>
      <c r="O12" s="5">
        <v>1</v>
      </c>
      <c r="P12" s="5" t="s">
        <v>44</v>
      </c>
      <c r="Q12" s="5">
        <v>16</v>
      </c>
      <c r="R12" s="5">
        <v>57150071.625</v>
      </c>
    </row>
    <row r="13" spans="1:18" ht="15.75" customHeight="1" x14ac:dyDescent="0.15">
      <c r="A13" s="4" t="s">
        <v>32</v>
      </c>
      <c r="B13" s="5" t="s">
        <v>41</v>
      </c>
      <c r="C13" s="5">
        <v>6423</v>
      </c>
      <c r="D13" s="5">
        <v>2</v>
      </c>
      <c r="E13" s="5">
        <v>93296</v>
      </c>
      <c r="F13" s="5" t="s">
        <v>42</v>
      </c>
      <c r="G13" s="6"/>
      <c r="H13" s="5">
        <v>338</v>
      </c>
      <c r="I13" s="5" t="s">
        <v>35</v>
      </c>
      <c r="J13" s="5" t="s">
        <v>36</v>
      </c>
      <c r="K13" s="5" t="s">
        <v>37</v>
      </c>
      <c r="L13" s="5" t="s">
        <v>38</v>
      </c>
      <c r="M13" s="5">
        <v>151</v>
      </c>
      <c r="N13" s="5">
        <v>151</v>
      </c>
      <c r="O13" s="5">
        <v>0.99999998800000001</v>
      </c>
      <c r="P13" s="5" t="s">
        <v>44</v>
      </c>
      <c r="Q13" s="5">
        <v>26</v>
      </c>
      <c r="R13" s="5">
        <v>35362786.769199997</v>
      </c>
    </row>
    <row r="14" spans="1:18" ht="15.75" customHeight="1" x14ac:dyDescent="0.15">
      <c r="A14" s="4" t="s">
        <v>32</v>
      </c>
      <c r="B14" s="5" t="s">
        <v>41</v>
      </c>
      <c r="C14" s="5">
        <v>6423</v>
      </c>
      <c r="D14" s="5">
        <v>3</v>
      </c>
      <c r="E14" s="5">
        <v>93296</v>
      </c>
      <c r="F14" s="5" t="s">
        <v>42</v>
      </c>
      <c r="G14" s="6"/>
      <c r="H14" s="5">
        <v>338</v>
      </c>
      <c r="I14" s="5" t="s">
        <v>35</v>
      </c>
      <c r="J14" s="5" t="s">
        <v>36</v>
      </c>
      <c r="K14" s="5" t="s">
        <v>37</v>
      </c>
      <c r="L14" s="5" t="s">
        <v>38</v>
      </c>
      <c r="M14" s="5">
        <v>151</v>
      </c>
      <c r="N14" s="5">
        <v>151</v>
      </c>
      <c r="O14" s="5">
        <v>0.99999998800000001</v>
      </c>
      <c r="P14" s="5" t="s">
        <v>44</v>
      </c>
      <c r="Q14" s="5">
        <v>26</v>
      </c>
      <c r="R14" s="5">
        <v>34572409.576899998</v>
      </c>
    </row>
    <row r="15" spans="1:18" ht="15.75" customHeight="1" x14ac:dyDescent="0.15">
      <c r="A15" s="4" t="s">
        <v>47</v>
      </c>
      <c r="B15" s="5" t="s">
        <v>48</v>
      </c>
      <c r="C15" s="5">
        <v>6644</v>
      </c>
      <c r="D15" s="5">
        <v>1</v>
      </c>
      <c r="E15" s="5">
        <v>93301</v>
      </c>
      <c r="F15" s="5" t="s">
        <v>49</v>
      </c>
      <c r="G15" s="6"/>
      <c r="H15" s="6"/>
      <c r="I15" s="5" t="s">
        <v>35</v>
      </c>
      <c r="J15" s="6"/>
      <c r="K15" s="6"/>
      <c r="L15" s="6"/>
      <c r="M15" s="6"/>
      <c r="N15" s="6"/>
      <c r="O15" s="5">
        <v>1</v>
      </c>
      <c r="P15" s="5" t="s">
        <v>50</v>
      </c>
      <c r="Q15" s="5">
        <v>2</v>
      </c>
      <c r="R15" s="5">
        <v>4519056</v>
      </c>
    </row>
    <row r="16" spans="1:18" ht="15.75" customHeight="1" x14ac:dyDescent="0.15">
      <c r="A16" s="4" t="s">
        <v>47</v>
      </c>
      <c r="B16" s="5" t="s">
        <v>48</v>
      </c>
      <c r="C16" s="5">
        <v>6644</v>
      </c>
      <c r="D16" s="5">
        <v>2</v>
      </c>
      <c r="E16" s="5">
        <v>93301</v>
      </c>
      <c r="F16" s="5" t="s">
        <v>49</v>
      </c>
      <c r="G16" s="6"/>
      <c r="H16" s="6"/>
      <c r="I16" s="5" t="s">
        <v>35</v>
      </c>
      <c r="J16" s="6"/>
      <c r="K16" s="6"/>
      <c r="L16" s="6"/>
      <c r="M16" s="6"/>
      <c r="N16" s="6"/>
      <c r="O16" s="5">
        <v>1</v>
      </c>
      <c r="P16" s="5" t="s">
        <v>50</v>
      </c>
      <c r="Q16" s="5">
        <v>2</v>
      </c>
      <c r="R16" s="5">
        <v>4635952.5</v>
      </c>
    </row>
    <row r="17" spans="1:18" ht="15.75" customHeight="1" x14ac:dyDescent="0.15">
      <c r="A17" s="4" t="s">
        <v>32</v>
      </c>
      <c r="B17" s="5" t="s">
        <v>133</v>
      </c>
      <c r="C17" s="5">
        <v>6187</v>
      </c>
      <c r="D17" s="5">
        <v>1</v>
      </c>
      <c r="E17" s="5">
        <v>93378</v>
      </c>
      <c r="F17" s="5" t="s">
        <v>52</v>
      </c>
      <c r="G17" s="6"/>
      <c r="H17" s="5">
        <v>545</v>
      </c>
      <c r="I17" s="5" t="s">
        <v>35</v>
      </c>
      <c r="J17" s="5" t="s">
        <v>36</v>
      </c>
      <c r="K17" s="5" t="s">
        <v>37</v>
      </c>
      <c r="L17" s="5" t="s">
        <v>54</v>
      </c>
      <c r="M17" s="5">
        <v>221</v>
      </c>
      <c r="N17" s="5">
        <v>201</v>
      </c>
      <c r="O17" s="5">
        <v>0.99999974400000502</v>
      </c>
      <c r="P17" s="5" t="s">
        <v>55</v>
      </c>
      <c r="Q17" s="5">
        <v>384</v>
      </c>
      <c r="R17" s="5">
        <v>511999.53129999997</v>
      </c>
    </row>
    <row r="18" spans="1:18" ht="15.75" customHeight="1" x14ac:dyDescent="0.15">
      <c r="A18" s="4" t="s">
        <v>32</v>
      </c>
      <c r="B18" s="5" t="s">
        <v>133</v>
      </c>
      <c r="C18" s="5">
        <v>6187</v>
      </c>
      <c r="D18" s="5">
        <v>2</v>
      </c>
      <c r="E18" s="5">
        <v>93378</v>
      </c>
      <c r="F18" s="5" t="s">
        <v>52</v>
      </c>
      <c r="G18" s="6"/>
      <c r="H18" s="5">
        <v>545</v>
      </c>
      <c r="I18" s="5" t="s">
        <v>35</v>
      </c>
      <c r="J18" s="5" t="s">
        <v>36</v>
      </c>
      <c r="K18" s="5" t="s">
        <v>37</v>
      </c>
      <c r="L18" s="5" t="s">
        <v>54</v>
      </c>
      <c r="M18" s="5">
        <v>221</v>
      </c>
      <c r="N18" s="5">
        <v>201</v>
      </c>
      <c r="O18" s="5">
        <v>0.99999974400000502</v>
      </c>
      <c r="P18" s="5" t="s">
        <v>55</v>
      </c>
      <c r="Q18" s="5">
        <v>384</v>
      </c>
      <c r="R18" s="5">
        <v>556005.75780000002</v>
      </c>
    </row>
    <row r="19" spans="1:18" ht="15.75" customHeight="1" x14ac:dyDescent="0.15">
      <c r="A19" s="4" t="s">
        <v>32</v>
      </c>
      <c r="B19" s="5" t="s">
        <v>133</v>
      </c>
      <c r="C19" s="5">
        <v>6187</v>
      </c>
      <c r="D19" s="5">
        <v>1</v>
      </c>
      <c r="E19" s="5">
        <v>93381</v>
      </c>
      <c r="F19" s="5" t="s">
        <v>52</v>
      </c>
      <c r="G19" s="6"/>
      <c r="H19" s="5">
        <v>545</v>
      </c>
      <c r="I19" s="5" t="s">
        <v>35</v>
      </c>
      <c r="J19" s="5" t="s">
        <v>36</v>
      </c>
      <c r="K19" s="5" t="s">
        <v>37</v>
      </c>
      <c r="L19" s="5" t="s">
        <v>54</v>
      </c>
      <c r="M19" s="5">
        <v>221</v>
      </c>
      <c r="N19" s="5">
        <v>201</v>
      </c>
      <c r="O19" s="5">
        <v>0.99999998199999296</v>
      </c>
      <c r="P19" s="5" t="s">
        <v>55</v>
      </c>
      <c r="Q19" s="5">
        <v>382</v>
      </c>
      <c r="R19" s="5">
        <v>534772.47640000004</v>
      </c>
    </row>
    <row r="20" spans="1:18" ht="15.75" customHeight="1" x14ac:dyDescent="0.15">
      <c r="A20" s="4" t="s">
        <v>32</v>
      </c>
      <c r="B20" s="5" t="s">
        <v>133</v>
      </c>
      <c r="C20" s="5">
        <v>6187</v>
      </c>
      <c r="D20" s="5">
        <v>2</v>
      </c>
      <c r="E20" s="5">
        <v>93381</v>
      </c>
      <c r="F20" s="5" t="s">
        <v>52</v>
      </c>
      <c r="G20" s="6"/>
      <c r="H20" s="5">
        <v>545</v>
      </c>
      <c r="I20" s="5" t="s">
        <v>35</v>
      </c>
      <c r="J20" s="5" t="s">
        <v>36</v>
      </c>
      <c r="K20" s="5" t="s">
        <v>37</v>
      </c>
      <c r="L20" s="5" t="s">
        <v>54</v>
      </c>
      <c r="M20" s="5">
        <v>221</v>
      </c>
      <c r="N20" s="5">
        <v>201</v>
      </c>
      <c r="O20" s="5">
        <v>0.99999974400000502</v>
      </c>
      <c r="P20" s="5" t="s">
        <v>55</v>
      </c>
      <c r="Q20" s="5">
        <v>384</v>
      </c>
      <c r="R20" s="5">
        <v>474191.07030000002</v>
      </c>
    </row>
    <row r="21" spans="1:18" ht="15.75" customHeight="1" x14ac:dyDescent="0.15">
      <c r="A21" s="4" t="s">
        <v>32</v>
      </c>
      <c r="B21" s="5" t="s">
        <v>133</v>
      </c>
      <c r="C21" s="5">
        <v>6187</v>
      </c>
      <c r="D21" s="5">
        <v>1</v>
      </c>
      <c r="E21" s="5">
        <v>93382</v>
      </c>
      <c r="F21" s="5" t="s">
        <v>52</v>
      </c>
      <c r="G21" s="6"/>
      <c r="H21" s="5">
        <v>545</v>
      </c>
      <c r="I21" s="5" t="s">
        <v>35</v>
      </c>
      <c r="J21" s="5" t="s">
        <v>36</v>
      </c>
      <c r="K21" s="5" t="s">
        <v>37</v>
      </c>
      <c r="L21" s="5" t="s">
        <v>54</v>
      </c>
      <c r="M21" s="5">
        <v>221</v>
      </c>
      <c r="N21" s="5">
        <v>201</v>
      </c>
      <c r="O21" s="5">
        <v>0.99999974400000502</v>
      </c>
      <c r="P21" s="5" t="s">
        <v>55</v>
      </c>
      <c r="Q21" s="5">
        <v>384</v>
      </c>
      <c r="R21" s="5">
        <v>557385.74479999999</v>
      </c>
    </row>
    <row r="22" spans="1:18" ht="15.75" customHeight="1" x14ac:dyDescent="0.15">
      <c r="A22" s="4" t="s">
        <v>32</v>
      </c>
      <c r="B22" s="5" t="s">
        <v>133</v>
      </c>
      <c r="C22" s="5">
        <v>6187</v>
      </c>
      <c r="D22" s="5">
        <v>2</v>
      </c>
      <c r="E22" s="5">
        <v>93382</v>
      </c>
      <c r="F22" s="5" t="s">
        <v>52</v>
      </c>
      <c r="G22" s="6"/>
      <c r="H22" s="5">
        <v>545</v>
      </c>
      <c r="I22" s="5" t="s">
        <v>35</v>
      </c>
      <c r="J22" s="5" t="s">
        <v>36</v>
      </c>
      <c r="K22" s="5" t="s">
        <v>37</v>
      </c>
      <c r="L22" s="5" t="s">
        <v>54</v>
      </c>
      <c r="M22" s="5">
        <v>221</v>
      </c>
      <c r="N22" s="5">
        <v>201</v>
      </c>
      <c r="O22" s="5">
        <v>0.99999974400000502</v>
      </c>
      <c r="P22" s="5" t="s">
        <v>55</v>
      </c>
      <c r="Q22" s="5">
        <v>384</v>
      </c>
      <c r="R22" s="5">
        <v>558268.67449999996</v>
      </c>
    </row>
    <row r="23" spans="1:18" ht="15.75" customHeight="1" x14ac:dyDescent="0.15">
      <c r="A23" s="4" t="s">
        <v>32</v>
      </c>
      <c r="B23" s="5" t="s">
        <v>133</v>
      </c>
      <c r="C23" s="5">
        <v>6187</v>
      </c>
      <c r="D23" s="5">
        <v>1</v>
      </c>
      <c r="E23" s="5">
        <v>93383</v>
      </c>
      <c r="F23" s="5" t="s">
        <v>52</v>
      </c>
      <c r="G23" s="6"/>
      <c r="H23" s="5">
        <v>545</v>
      </c>
      <c r="I23" s="5" t="s">
        <v>35</v>
      </c>
      <c r="J23" s="5" t="s">
        <v>36</v>
      </c>
      <c r="K23" s="5" t="s">
        <v>37</v>
      </c>
      <c r="L23" s="5" t="s">
        <v>54</v>
      </c>
      <c r="M23" s="5">
        <v>221</v>
      </c>
      <c r="N23" s="5">
        <v>201</v>
      </c>
      <c r="O23" s="5">
        <v>0.99999974400000502</v>
      </c>
      <c r="P23" s="5" t="s">
        <v>55</v>
      </c>
      <c r="Q23" s="5">
        <v>384</v>
      </c>
      <c r="R23" s="5">
        <v>515708.96610000002</v>
      </c>
    </row>
    <row r="24" spans="1:18" ht="15.75" customHeight="1" x14ac:dyDescent="0.15">
      <c r="A24" s="4" t="s">
        <v>32</v>
      </c>
      <c r="B24" s="5" t="s">
        <v>133</v>
      </c>
      <c r="C24" s="5">
        <v>6187</v>
      </c>
      <c r="D24" s="5">
        <v>2</v>
      </c>
      <c r="E24" s="5">
        <v>93383</v>
      </c>
      <c r="F24" s="5" t="s">
        <v>52</v>
      </c>
      <c r="G24" s="6"/>
      <c r="H24" s="5">
        <v>545</v>
      </c>
      <c r="I24" s="5" t="s">
        <v>35</v>
      </c>
      <c r="J24" s="5" t="s">
        <v>36</v>
      </c>
      <c r="K24" s="5" t="s">
        <v>37</v>
      </c>
      <c r="L24" s="5" t="s">
        <v>54</v>
      </c>
      <c r="M24" s="5">
        <v>221</v>
      </c>
      <c r="N24" s="5">
        <v>201</v>
      </c>
      <c r="O24" s="5">
        <v>0.99999974400000502</v>
      </c>
      <c r="P24" s="5" t="s">
        <v>55</v>
      </c>
      <c r="Q24" s="5">
        <v>384</v>
      </c>
      <c r="R24" s="5">
        <v>556082.05989999999</v>
      </c>
    </row>
    <row r="25" spans="1:18" ht="15.75" customHeight="1" x14ac:dyDescent="0.15">
      <c r="A25" s="4" t="s">
        <v>32</v>
      </c>
      <c r="B25" s="5" t="s">
        <v>133</v>
      </c>
      <c r="C25" s="5">
        <v>6187</v>
      </c>
      <c r="D25" s="5">
        <v>1</v>
      </c>
      <c r="E25" s="5">
        <v>93384</v>
      </c>
      <c r="F25" s="5" t="s">
        <v>52</v>
      </c>
      <c r="G25" s="6"/>
      <c r="H25" s="5">
        <v>545</v>
      </c>
      <c r="I25" s="5" t="s">
        <v>35</v>
      </c>
      <c r="J25" s="5" t="s">
        <v>36</v>
      </c>
      <c r="K25" s="5" t="s">
        <v>37</v>
      </c>
      <c r="L25" s="5" t="s">
        <v>54</v>
      </c>
      <c r="M25" s="5">
        <v>221</v>
      </c>
      <c r="N25" s="5">
        <v>201</v>
      </c>
      <c r="O25" s="5">
        <v>0.99999974400000502</v>
      </c>
      <c r="P25" s="5" t="s">
        <v>55</v>
      </c>
      <c r="Q25" s="5">
        <v>384</v>
      </c>
      <c r="R25" s="5">
        <v>541942.21089999995</v>
      </c>
    </row>
    <row r="26" spans="1:18" ht="15.75" customHeight="1" x14ac:dyDescent="0.15">
      <c r="A26" s="4" t="s">
        <v>32</v>
      </c>
      <c r="B26" s="5" t="s">
        <v>133</v>
      </c>
      <c r="C26" s="5">
        <v>6187</v>
      </c>
      <c r="D26" s="5">
        <v>2</v>
      </c>
      <c r="E26" s="5">
        <v>93384</v>
      </c>
      <c r="F26" s="5" t="s">
        <v>52</v>
      </c>
      <c r="G26" s="6"/>
      <c r="H26" s="5">
        <v>545</v>
      </c>
      <c r="I26" s="5" t="s">
        <v>35</v>
      </c>
      <c r="J26" s="5" t="s">
        <v>36</v>
      </c>
      <c r="K26" s="5" t="s">
        <v>37</v>
      </c>
      <c r="L26" s="5" t="s">
        <v>54</v>
      </c>
      <c r="M26" s="5">
        <v>221</v>
      </c>
      <c r="N26" s="5">
        <v>201</v>
      </c>
      <c r="O26" s="5">
        <v>0.99999974400000502</v>
      </c>
      <c r="P26" s="5" t="s">
        <v>55</v>
      </c>
      <c r="Q26" s="5">
        <v>384</v>
      </c>
      <c r="R26" s="5">
        <v>540373.42969999998</v>
      </c>
    </row>
    <row r="27" spans="1:18" ht="15.75" customHeight="1" x14ac:dyDescent="0.15">
      <c r="A27" s="4" t="s">
        <v>32</v>
      </c>
      <c r="B27" s="5" t="s">
        <v>87</v>
      </c>
      <c r="C27" s="5">
        <v>6595</v>
      </c>
      <c r="D27" s="5">
        <v>1</v>
      </c>
      <c r="E27" s="5">
        <v>93290</v>
      </c>
      <c r="F27" s="5" t="s">
        <v>88</v>
      </c>
      <c r="G27" s="6"/>
      <c r="H27" s="5">
        <v>330</v>
      </c>
      <c r="I27" s="5" t="s">
        <v>35</v>
      </c>
      <c r="J27" s="5" t="s">
        <v>90</v>
      </c>
      <c r="K27" s="5" t="s">
        <v>37</v>
      </c>
      <c r="L27" s="5" t="s">
        <v>38</v>
      </c>
      <c r="M27" s="5">
        <v>101</v>
      </c>
      <c r="N27" s="5">
        <v>101</v>
      </c>
      <c r="O27" s="5">
        <v>0.99999993600000103</v>
      </c>
      <c r="P27" s="5" t="s">
        <v>91</v>
      </c>
      <c r="Q27" s="5">
        <v>96</v>
      </c>
      <c r="R27" s="5">
        <v>5997014.6875</v>
      </c>
    </row>
    <row r="28" spans="1:18" ht="15.75" customHeight="1" x14ac:dyDescent="0.15">
      <c r="A28" s="4" t="s">
        <v>32</v>
      </c>
      <c r="B28" s="5" t="s">
        <v>87</v>
      </c>
      <c r="C28" s="5">
        <v>6595</v>
      </c>
      <c r="D28" s="5">
        <v>2</v>
      </c>
      <c r="E28" s="5">
        <v>93290</v>
      </c>
      <c r="F28" s="5" t="s">
        <v>88</v>
      </c>
      <c r="G28" s="6"/>
      <c r="H28" s="5">
        <v>330</v>
      </c>
      <c r="I28" s="5" t="s">
        <v>35</v>
      </c>
      <c r="J28" s="5" t="s">
        <v>90</v>
      </c>
      <c r="K28" s="5" t="s">
        <v>37</v>
      </c>
      <c r="L28" s="5" t="s">
        <v>38</v>
      </c>
      <c r="M28" s="5">
        <v>101</v>
      </c>
      <c r="N28" s="5">
        <v>101</v>
      </c>
      <c r="O28" s="5">
        <v>0.99999993600000103</v>
      </c>
      <c r="P28" s="5" t="s">
        <v>91</v>
      </c>
      <c r="Q28" s="5">
        <v>96</v>
      </c>
      <c r="R28" s="5">
        <v>5997183.7396</v>
      </c>
    </row>
    <row r="29" spans="1:18" ht="15.75" customHeight="1" x14ac:dyDescent="0.15">
      <c r="A29" s="4" t="s">
        <v>32</v>
      </c>
      <c r="B29" s="5" t="s">
        <v>87</v>
      </c>
      <c r="C29" s="5">
        <v>6595</v>
      </c>
      <c r="D29" s="5">
        <v>3</v>
      </c>
      <c r="E29" s="5">
        <v>93290</v>
      </c>
      <c r="F29" s="5" t="s">
        <v>88</v>
      </c>
      <c r="G29" s="6"/>
      <c r="H29" s="5">
        <v>330</v>
      </c>
      <c r="I29" s="5" t="s">
        <v>35</v>
      </c>
      <c r="J29" s="5" t="s">
        <v>90</v>
      </c>
      <c r="K29" s="5" t="s">
        <v>37</v>
      </c>
      <c r="L29" s="5" t="s">
        <v>38</v>
      </c>
      <c r="M29" s="5">
        <v>101</v>
      </c>
      <c r="N29" s="5">
        <v>101</v>
      </c>
      <c r="O29" s="5">
        <v>0.99999993600000103</v>
      </c>
      <c r="P29" s="5" t="s">
        <v>91</v>
      </c>
      <c r="Q29" s="5">
        <v>96</v>
      </c>
      <c r="R29" s="5">
        <v>5974525.25</v>
      </c>
    </row>
    <row r="30" spans="1:18" ht="15.75" customHeight="1" x14ac:dyDescent="0.15">
      <c r="A30" s="4" t="s">
        <v>32</v>
      </c>
      <c r="B30" s="5" t="s">
        <v>87</v>
      </c>
      <c r="C30" s="5">
        <v>6595</v>
      </c>
      <c r="D30" s="5">
        <v>4</v>
      </c>
      <c r="E30" s="5">
        <v>93290</v>
      </c>
      <c r="F30" s="5" t="s">
        <v>88</v>
      </c>
      <c r="G30" s="6"/>
      <c r="H30" s="5">
        <v>330</v>
      </c>
      <c r="I30" s="5" t="s">
        <v>35</v>
      </c>
      <c r="J30" s="5" t="s">
        <v>90</v>
      </c>
      <c r="K30" s="5" t="s">
        <v>37</v>
      </c>
      <c r="L30" s="5" t="s">
        <v>38</v>
      </c>
      <c r="M30" s="5">
        <v>101</v>
      </c>
      <c r="N30" s="5">
        <v>101</v>
      </c>
      <c r="O30" s="5">
        <v>0.99999992500000101</v>
      </c>
      <c r="P30" s="5" t="s">
        <v>91</v>
      </c>
      <c r="Q30" s="5">
        <v>95</v>
      </c>
      <c r="R30" s="5">
        <v>6053394.2315999996</v>
      </c>
    </row>
    <row r="31" spans="1:18" ht="15.75" customHeight="1" x14ac:dyDescent="0.15">
      <c r="A31" s="4" t="s">
        <v>32</v>
      </c>
      <c r="B31" s="5" t="s">
        <v>87</v>
      </c>
      <c r="C31" s="5">
        <v>6595</v>
      </c>
      <c r="D31" s="5">
        <v>1</v>
      </c>
      <c r="E31" s="5">
        <v>93291</v>
      </c>
      <c r="F31" s="5" t="s">
        <v>88</v>
      </c>
      <c r="G31" s="6"/>
      <c r="H31" s="5">
        <v>330</v>
      </c>
      <c r="I31" s="5" t="s">
        <v>35</v>
      </c>
      <c r="J31" s="5" t="s">
        <v>90</v>
      </c>
      <c r="K31" s="5" t="s">
        <v>37</v>
      </c>
      <c r="L31" s="5" t="s">
        <v>38</v>
      </c>
      <c r="M31" s="5">
        <v>101</v>
      </c>
      <c r="N31" s="5">
        <v>101</v>
      </c>
      <c r="O31" s="5">
        <v>0.99999993600000103</v>
      </c>
      <c r="P31" s="5" t="s">
        <v>91</v>
      </c>
      <c r="Q31" s="5">
        <v>96</v>
      </c>
      <c r="R31" s="5">
        <v>5754118.3125</v>
      </c>
    </row>
    <row r="32" spans="1:18" ht="15.75" customHeight="1" x14ac:dyDescent="0.15">
      <c r="A32" s="4" t="s">
        <v>32</v>
      </c>
      <c r="B32" s="5" t="s">
        <v>87</v>
      </c>
      <c r="C32" s="5">
        <v>6595</v>
      </c>
      <c r="D32" s="5">
        <v>2</v>
      </c>
      <c r="E32" s="5">
        <v>93291</v>
      </c>
      <c r="F32" s="5" t="s">
        <v>88</v>
      </c>
      <c r="G32" s="6"/>
      <c r="H32" s="5">
        <v>330</v>
      </c>
      <c r="I32" s="5" t="s">
        <v>35</v>
      </c>
      <c r="J32" s="5" t="s">
        <v>90</v>
      </c>
      <c r="K32" s="5" t="s">
        <v>37</v>
      </c>
      <c r="L32" s="5" t="s">
        <v>38</v>
      </c>
      <c r="M32" s="5">
        <v>101</v>
      </c>
      <c r="N32" s="5">
        <v>101</v>
      </c>
      <c r="O32" s="5">
        <v>0.99999993600000103</v>
      </c>
      <c r="P32" s="5" t="s">
        <v>91</v>
      </c>
      <c r="Q32" s="5">
        <v>96</v>
      </c>
      <c r="R32" s="5">
        <v>5694045.5</v>
      </c>
    </row>
    <row r="33" spans="1:18" ht="15.75" customHeight="1" x14ac:dyDescent="0.15">
      <c r="A33" s="4" t="s">
        <v>32</v>
      </c>
      <c r="B33" s="5" t="s">
        <v>87</v>
      </c>
      <c r="C33" s="5">
        <v>6595</v>
      </c>
      <c r="D33" s="5">
        <v>3</v>
      </c>
      <c r="E33" s="5">
        <v>93291</v>
      </c>
      <c r="F33" s="5" t="s">
        <v>88</v>
      </c>
      <c r="G33" s="6"/>
      <c r="H33" s="5">
        <v>330</v>
      </c>
      <c r="I33" s="5" t="s">
        <v>35</v>
      </c>
      <c r="J33" s="5" t="s">
        <v>90</v>
      </c>
      <c r="K33" s="5" t="s">
        <v>37</v>
      </c>
      <c r="L33" s="5" t="s">
        <v>38</v>
      </c>
      <c r="M33" s="5">
        <v>101</v>
      </c>
      <c r="N33" s="5">
        <v>101</v>
      </c>
      <c r="O33" s="5">
        <v>0.99999993600000103</v>
      </c>
      <c r="P33" s="5" t="s">
        <v>91</v>
      </c>
      <c r="Q33" s="5">
        <v>96</v>
      </c>
      <c r="R33" s="5">
        <v>5768426.625</v>
      </c>
    </row>
    <row r="34" spans="1:18" ht="15.75" customHeight="1" x14ac:dyDescent="0.15">
      <c r="A34" s="4" t="s">
        <v>32</v>
      </c>
      <c r="B34" s="5" t="s">
        <v>87</v>
      </c>
      <c r="C34" s="5">
        <v>6595</v>
      </c>
      <c r="D34" s="5">
        <v>4</v>
      </c>
      <c r="E34" s="5">
        <v>93291</v>
      </c>
      <c r="F34" s="5" t="s">
        <v>88</v>
      </c>
      <c r="G34" s="6"/>
      <c r="H34" s="5">
        <v>330</v>
      </c>
      <c r="I34" s="5" t="s">
        <v>35</v>
      </c>
      <c r="J34" s="5" t="s">
        <v>90</v>
      </c>
      <c r="K34" s="5" t="s">
        <v>37</v>
      </c>
      <c r="L34" s="5" t="s">
        <v>38</v>
      </c>
      <c r="M34" s="5">
        <v>101</v>
      </c>
      <c r="N34" s="5">
        <v>101</v>
      </c>
      <c r="O34" s="5">
        <v>0.99999993600000103</v>
      </c>
      <c r="P34" s="5" t="s">
        <v>91</v>
      </c>
      <c r="Q34" s="5">
        <v>96</v>
      </c>
      <c r="R34" s="5">
        <v>5828642.8541999999</v>
      </c>
    </row>
    <row r="35" spans="1:18" ht="15.75" customHeight="1" x14ac:dyDescent="0.15">
      <c r="A35" s="4" t="s">
        <v>32</v>
      </c>
      <c r="B35" s="5" t="s">
        <v>87</v>
      </c>
      <c r="C35" s="5">
        <v>6595</v>
      </c>
      <c r="D35" s="5">
        <v>1</v>
      </c>
      <c r="E35" s="5">
        <v>93352</v>
      </c>
      <c r="F35" s="5" t="s">
        <v>88</v>
      </c>
      <c r="G35" s="6"/>
      <c r="H35" s="5">
        <v>330</v>
      </c>
      <c r="I35" s="5" t="s">
        <v>35</v>
      </c>
      <c r="J35" s="5" t="s">
        <v>90</v>
      </c>
      <c r="K35" s="5" t="s">
        <v>37</v>
      </c>
      <c r="L35" s="5" t="s">
        <v>38</v>
      </c>
      <c r="M35" s="5">
        <v>101</v>
      </c>
      <c r="N35" s="5">
        <v>101</v>
      </c>
      <c r="O35" s="5">
        <v>0.99999993600000103</v>
      </c>
      <c r="P35" s="5" t="s">
        <v>91</v>
      </c>
      <c r="Q35" s="5">
        <v>96</v>
      </c>
      <c r="R35" s="5">
        <v>5692371.1666999999</v>
      </c>
    </row>
    <row r="36" spans="1:18" ht="15.75" customHeight="1" x14ac:dyDescent="0.15">
      <c r="A36" s="4" t="s">
        <v>32</v>
      </c>
      <c r="B36" s="5" t="s">
        <v>87</v>
      </c>
      <c r="C36" s="5">
        <v>6595</v>
      </c>
      <c r="D36" s="5">
        <v>2</v>
      </c>
      <c r="E36" s="5">
        <v>93352</v>
      </c>
      <c r="F36" s="5" t="s">
        <v>88</v>
      </c>
      <c r="G36" s="6"/>
      <c r="H36" s="5">
        <v>330</v>
      </c>
      <c r="I36" s="5" t="s">
        <v>35</v>
      </c>
      <c r="J36" s="5" t="s">
        <v>90</v>
      </c>
      <c r="K36" s="5" t="s">
        <v>37</v>
      </c>
      <c r="L36" s="5" t="s">
        <v>38</v>
      </c>
      <c r="M36" s="5">
        <v>101</v>
      </c>
      <c r="N36" s="5">
        <v>101</v>
      </c>
      <c r="O36" s="5">
        <v>0.99999993600000103</v>
      </c>
      <c r="P36" s="5" t="s">
        <v>91</v>
      </c>
      <c r="Q36" s="5">
        <v>96</v>
      </c>
      <c r="R36" s="5">
        <v>5629780.2083000001</v>
      </c>
    </row>
    <row r="37" spans="1:18" ht="15.75" customHeight="1" x14ac:dyDescent="0.15">
      <c r="A37" s="4" t="s">
        <v>32</v>
      </c>
      <c r="B37" s="5" t="s">
        <v>87</v>
      </c>
      <c r="C37" s="5">
        <v>6595</v>
      </c>
      <c r="D37" s="5">
        <v>3</v>
      </c>
      <c r="E37" s="5">
        <v>93352</v>
      </c>
      <c r="F37" s="5" t="s">
        <v>88</v>
      </c>
      <c r="G37" s="6"/>
      <c r="H37" s="5">
        <v>330</v>
      </c>
      <c r="I37" s="5" t="s">
        <v>35</v>
      </c>
      <c r="J37" s="5" t="s">
        <v>90</v>
      </c>
      <c r="K37" s="5" t="s">
        <v>37</v>
      </c>
      <c r="L37" s="5" t="s">
        <v>38</v>
      </c>
      <c r="M37" s="5">
        <v>101</v>
      </c>
      <c r="N37" s="5">
        <v>101</v>
      </c>
      <c r="O37" s="5">
        <v>0.99999993600000103</v>
      </c>
      <c r="P37" s="5" t="s">
        <v>91</v>
      </c>
      <c r="Q37" s="5">
        <v>96</v>
      </c>
      <c r="R37" s="5">
        <v>5948098.5729</v>
      </c>
    </row>
    <row r="38" spans="1:18" ht="15.75" customHeight="1" x14ac:dyDescent="0.15">
      <c r="A38" s="4" t="s">
        <v>32</v>
      </c>
      <c r="B38" s="5" t="s">
        <v>112</v>
      </c>
      <c r="C38" s="5">
        <v>6595</v>
      </c>
      <c r="D38" s="5">
        <v>4</v>
      </c>
      <c r="E38" s="5">
        <v>93352</v>
      </c>
      <c r="F38" s="5" t="s">
        <v>88</v>
      </c>
      <c r="G38" s="6"/>
      <c r="H38" s="5">
        <v>330</v>
      </c>
      <c r="I38" s="5" t="s">
        <v>35</v>
      </c>
      <c r="J38" s="5" t="s">
        <v>90</v>
      </c>
      <c r="K38" s="5" t="s">
        <v>37</v>
      </c>
      <c r="L38" s="5" t="s">
        <v>38</v>
      </c>
      <c r="M38" s="5">
        <v>101</v>
      </c>
      <c r="N38" s="5">
        <v>101</v>
      </c>
      <c r="O38" s="5">
        <v>0.99999993600000103</v>
      </c>
      <c r="P38" s="5" t="s">
        <v>91</v>
      </c>
      <c r="Q38" s="5">
        <v>96</v>
      </c>
      <c r="R38" s="5">
        <v>5879089.7291999999</v>
      </c>
    </row>
    <row r="39" spans="1:18" ht="15.75" customHeight="1" x14ac:dyDescent="0.15">
      <c r="A39" s="4" t="s">
        <v>117</v>
      </c>
      <c r="B39" s="5" t="s">
        <v>33</v>
      </c>
      <c r="C39" s="5">
        <v>2984</v>
      </c>
      <c r="D39" s="5">
        <v>1</v>
      </c>
      <c r="E39" s="5">
        <v>93010</v>
      </c>
      <c r="F39" s="5" t="s">
        <v>118</v>
      </c>
      <c r="G39" s="5" t="s">
        <v>119</v>
      </c>
      <c r="H39" s="6"/>
      <c r="I39" s="6"/>
      <c r="J39" s="6"/>
      <c r="K39" s="6"/>
      <c r="L39" s="6"/>
      <c r="M39" s="6"/>
      <c r="N39" s="6"/>
      <c r="O39" s="5">
        <v>0.99999999900000103</v>
      </c>
      <c r="P39" s="5" t="s">
        <v>39</v>
      </c>
      <c r="Q39" s="5">
        <v>37</v>
      </c>
      <c r="R39" s="5">
        <v>126135.2162</v>
      </c>
    </row>
    <row r="40" spans="1:18" ht="15.75" customHeight="1" x14ac:dyDescent="0.15">
      <c r="A40" s="4" t="s">
        <v>117</v>
      </c>
      <c r="B40" s="5" t="s">
        <v>33</v>
      </c>
      <c r="C40" s="5">
        <v>2984</v>
      </c>
      <c r="D40" s="5">
        <v>1</v>
      </c>
      <c r="E40" s="5">
        <v>93080</v>
      </c>
      <c r="F40" s="5" t="s">
        <v>118</v>
      </c>
      <c r="G40" s="5" t="s">
        <v>119</v>
      </c>
      <c r="H40" s="6"/>
      <c r="I40" s="6"/>
      <c r="J40" s="6"/>
      <c r="K40" s="6"/>
      <c r="L40" s="6"/>
      <c r="M40" s="6"/>
      <c r="N40" s="6"/>
      <c r="O40" s="5">
        <v>0.99999998700000103</v>
      </c>
      <c r="P40" s="5" t="s">
        <v>39</v>
      </c>
      <c r="Q40" s="5">
        <v>49</v>
      </c>
      <c r="R40" s="5">
        <v>98693.367299999998</v>
      </c>
    </row>
    <row r="41" spans="1:18" ht="15.75" customHeight="1" x14ac:dyDescent="0.15">
      <c r="A41" s="4" t="s">
        <v>32</v>
      </c>
      <c r="B41" s="5" t="s">
        <v>33</v>
      </c>
      <c r="C41" s="5">
        <v>2984</v>
      </c>
      <c r="D41" s="5">
        <v>4</v>
      </c>
      <c r="E41" s="5">
        <v>93296</v>
      </c>
      <c r="F41" s="5" t="s">
        <v>118</v>
      </c>
      <c r="G41" s="6"/>
      <c r="H41" s="5">
        <v>338</v>
      </c>
      <c r="I41" s="5" t="s">
        <v>35</v>
      </c>
      <c r="J41" s="5" t="s">
        <v>36</v>
      </c>
      <c r="K41" s="5" t="s">
        <v>37</v>
      </c>
      <c r="L41" s="5" t="s">
        <v>38</v>
      </c>
      <c r="M41" s="5">
        <v>151</v>
      </c>
      <c r="N41" s="5">
        <v>151</v>
      </c>
      <c r="O41" s="5">
        <v>0.84482757100000005</v>
      </c>
      <c r="P41" s="5" t="s">
        <v>39</v>
      </c>
      <c r="Q41" s="5">
        <v>49</v>
      </c>
      <c r="R41" s="5">
        <v>10942318.020400001</v>
      </c>
    </row>
    <row r="42" spans="1:18" ht="15.75" customHeight="1" x14ac:dyDescent="0.15">
      <c r="A42" s="4" t="s">
        <v>32</v>
      </c>
      <c r="B42" s="5" t="s">
        <v>120</v>
      </c>
      <c r="C42" s="5">
        <v>6778</v>
      </c>
      <c r="D42" s="5">
        <v>1</v>
      </c>
      <c r="E42" s="5">
        <v>93242</v>
      </c>
      <c r="F42" s="5" t="s">
        <v>121</v>
      </c>
      <c r="G42" s="6"/>
      <c r="H42" s="5">
        <v>338</v>
      </c>
      <c r="I42" s="5" t="s">
        <v>35</v>
      </c>
      <c r="J42" s="5" t="s">
        <v>36</v>
      </c>
      <c r="K42" s="5" t="s">
        <v>123</v>
      </c>
      <c r="L42" s="5" t="s">
        <v>38</v>
      </c>
      <c r="M42" s="5">
        <v>151</v>
      </c>
      <c r="N42" s="5">
        <v>151</v>
      </c>
      <c r="O42" s="5">
        <v>0.99999996499999999</v>
      </c>
      <c r="P42" s="5" t="s">
        <v>91</v>
      </c>
      <c r="Q42" s="5">
        <v>25</v>
      </c>
      <c r="R42" s="6"/>
    </row>
    <row r="43" spans="1:18" ht="15.75" customHeight="1" x14ac:dyDescent="0.15">
      <c r="A43" s="4" t="s">
        <v>32</v>
      </c>
      <c r="B43" s="5" t="s">
        <v>120</v>
      </c>
      <c r="C43" s="5">
        <v>6778</v>
      </c>
      <c r="D43" s="5">
        <v>2</v>
      </c>
      <c r="E43" s="5">
        <v>93242</v>
      </c>
      <c r="F43" s="5" t="s">
        <v>121</v>
      </c>
      <c r="G43" s="6"/>
      <c r="H43" s="5">
        <v>338</v>
      </c>
      <c r="I43" s="5" t="s">
        <v>35</v>
      </c>
      <c r="J43" s="5" t="s">
        <v>36</v>
      </c>
      <c r="K43" s="5" t="s">
        <v>123</v>
      </c>
      <c r="L43" s="5" t="s">
        <v>38</v>
      </c>
      <c r="M43" s="5">
        <v>151</v>
      </c>
      <c r="N43" s="5">
        <v>151</v>
      </c>
      <c r="O43" s="5">
        <v>0.99999996499999999</v>
      </c>
      <c r="P43" s="5" t="s">
        <v>91</v>
      </c>
      <c r="Q43" s="5">
        <v>25</v>
      </c>
      <c r="R43" s="6"/>
    </row>
    <row r="44" spans="1:18" ht="15.75" customHeight="1" x14ac:dyDescent="0.15">
      <c r="A44" s="4" t="s">
        <v>32</v>
      </c>
      <c r="B44" s="5" t="s">
        <v>120</v>
      </c>
      <c r="C44" s="5">
        <v>6778</v>
      </c>
      <c r="D44" s="5">
        <v>3</v>
      </c>
      <c r="E44" s="5">
        <v>93242</v>
      </c>
      <c r="F44" s="5" t="s">
        <v>121</v>
      </c>
      <c r="G44" s="6"/>
      <c r="H44" s="5">
        <v>338</v>
      </c>
      <c r="I44" s="5" t="s">
        <v>35</v>
      </c>
      <c r="J44" s="5" t="s">
        <v>36</v>
      </c>
      <c r="K44" s="5" t="s">
        <v>123</v>
      </c>
      <c r="L44" s="5" t="s">
        <v>38</v>
      </c>
      <c r="M44" s="5">
        <v>151</v>
      </c>
      <c r="N44" s="5">
        <v>151</v>
      </c>
      <c r="O44" s="5">
        <v>0.99999996499999999</v>
      </c>
      <c r="P44" s="5" t="s">
        <v>91</v>
      </c>
      <c r="Q44" s="5">
        <v>25</v>
      </c>
      <c r="R44" s="6"/>
    </row>
    <row r="45" spans="1:18" ht="15.75" customHeight="1" x14ac:dyDescent="0.15">
      <c r="A45" s="4" t="s">
        <v>32</v>
      </c>
      <c r="B45" s="5" t="s">
        <v>120</v>
      </c>
      <c r="C45" s="5">
        <v>6778</v>
      </c>
      <c r="D45" s="5">
        <v>4</v>
      </c>
      <c r="E45" s="5">
        <v>93242</v>
      </c>
      <c r="F45" s="5" t="s">
        <v>121</v>
      </c>
      <c r="G45" s="6"/>
      <c r="H45" s="5">
        <v>338</v>
      </c>
      <c r="I45" s="5" t="s">
        <v>35</v>
      </c>
      <c r="J45" s="5" t="s">
        <v>36</v>
      </c>
      <c r="K45" s="5" t="s">
        <v>123</v>
      </c>
      <c r="L45" s="5" t="s">
        <v>38</v>
      </c>
      <c r="M45" s="5">
        <v>151</v>
      </c>
      <c r="N45" s="5">
        <v>151</v>
      </c>
      <c r="O45" s="5">
        <v>0.99999996499999999</v>
      </c>
      <c r="P45" s="5" t="s">
        <v>91</v>
      </c>
      <c r="Q45" s="5">
        <v>25</v>
      </c>
      <c r="R45" s="6"/>
    </row>
    <row r="46" spans="1:18" ht="15.75" customHeight="1" x14ac:dyDescent="0.15">
      <c r="A46" s="4" t="s">
        <v>32</v>
      </c>
      <c r="B46" s="5" t="s">
        <v>133</v>
      </c>
      <c r="C46" s="5">
        <v>6940</v>
      </c>
      <c r="D46" s="5">
        <v>1</v>
      </c>
      <c r="E46" s="5">
        <v>93379</v>
      </c>
      <c r="F46" s="5" t="s">
        <v>128</v>
      </c>
      <c r="G46" s="6"/>
      <c r="H46" s="5">
        <v>545</v>
      </c>
      <c r="I46" s="5" t="s">
        <v>35</v>
      </c>
      <c r="J46" s="5" t="s">
        <v>36</v>
      </c>
      <c r="K46" s="5" t="s">
        <v>37</v>
      </c>
      <c r="L46" s="5" t="s">
        <v>54</v>
      </c>
      <c r="M46" s="5">
        <v>221</v>
      </c>
      <c r="N46" s="5">
        <v>201</v>
      </c>
      <c r="O46" s="5">
        <v>0.99999974400000502</v>
      </c>
      <c r="P46" s="5" t="s">
        <v>55</v>
      </c>
      <c r="Q46" s="5">
        <v>384</v>
      </c>
      <c r="R46" s="5">
        <v>565047.61719999998</v>
      </c>
    </row>
    <row r="47" spans="1:18" ht="15.75" customHeight="1" x14ac:dyDescent="0.15">
      <c r="A47" s="4" t="s">
        <v>32</v>
      </c>
      <c r="B47" s="5" t="s">
        <v>133</v>
      </c>
      <c r="C47" s="5">
        <v>6940</v>
      </c>
      <c r="D47" s="5">
        <v>2</v>
      </c>
      <c r="E47" s="5">
        <v>93379</v>
      </c>
      <c r="F47" s="5" t="s">
        <v>128</v>
      </c>
      <c r="G47" s="6"/>
      <c r="H47" s="5">
        <v>545</v>
      </c>
      <c r="I47" s="5" t="s">
        <v>35</v>
      </c>
      <c r="J47" s="5" t="s">
        <v>36</v>
      </c>
      <c r="K47" s="5" t="s">
        <v>37</v>
      </c>
      <c r="L47" s="5" t="s">
        <v>54</v>
      </c>
      <c r="M47" s="5">
        <v>221</v>
      </c>
      <c r="N47" s="5">
        <v>201</v>
      </c>
      <c r="O47" s="5">
        <v>0.99999974400000502</v>
      </c>
      <c r="P47" s="5" t="s">
        <v>55</v>
      </c>
      <c r="Q47" s="5">
        <v>384</v>
      </c>
      <c r="R47" s="5">
        <v>561630.69790000003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57"/>
  <sheetViews>
    <sheetView workbookViewId="0">
      <selection activeCell="K24" sqref="K24"/>
    </sheetView>
  </sheetViews>
  <sheetFormatPr baseColWidth="10" defaultColWidth="12.6640625" defaultRowHeight="15.75" customHeight="1" x14ac:dyDescent="0.15"/>
  <sheetData>
    <row r="1" spans="1:18" ht="15.75" customHeight="1" x14ac:dyDescent="0.15">
      <c r="A1" s="14" t="b">
        <f>new_billing_query_ungrouped!A1=original_billing_query!A1</f>
        <v>1</v>
      </c>
      <c r="B1" s="1" t="b">
        <f>new_billing_query_ungrouped!B1=original_billing_query!B1</f>
        <v>1</v>
      </c>
      <c r="C1" s="1" t="b">
        <f>new_billing_query_ungrouped!C1=original_billing_query!C1</f>
        <v>1</v>
      </c>
      <c r="D1" s="1" t="b">
        <f>new_billing_query_ungrouped!D1=original_billing_query!D1</f>
        <v>1</v>
      </c>
      <c r="E1" s="1" t="b">
        <f>new_billing_query_ungrouped!E1=original_billing_query!E1</f>
        <v>1</v>
      </c>
      <c r="F1" s="1" t="b">
        <f>new_billing_query_ungrouped!F1=original_billing_query!F1</f>
        <v>1</v>
      </c>
      <c r="G1" s="1" t="b">
        <f>new_billing_query_ungrouped!G1=original_billing_query!G1</f>
        <v>1</v>
      </c>
      <c r="H1" s="1" t="b">
        <f>new_billing_query_ungrouped!H1=original_billing_query!H1</f>
        <v>1</v>
      </c>
      <c r="I1" s="1" t="b">
        <f>new_billing_query_ungrouped!I1=original_billing_query!I1</f>
        <v>1</v>
      </c>
      <c r="J1" s="1" t="b">
        <f>new_billing_query_ungrouped!J1=original_billing_query!J1</f>
        <v>1</v>
      </c>
      <c r="K1" s="1" t="b">
        <f>new_billing_query_ungrouped!K1=original_billing_query!K1</f>
        <v>1</v>
      </c>
      <c r="L1" s="1" t="b">
        <f>new_billing_query_ungrouped!L1=original_billing_query!L1</f>
        <v>1</v>
      </c>
      <c r="M1" s="1" t="b">
        <f>new_billing_query_ungrouped!M1=original_billing_query!M1</f>
        <v>1</v>
      </c>
      <c r="N1" s="1" t="b">
        <f>new_billing_query_ungrouped!N1=original_billing_query!N1</f>
        <v>1</v>
      </c>
      <c r="O1" s="1" t="b">
        <f>new_billing_query_ungrouped!O1=original_billing_query!O1</f>
        <v>1</v>
      </c>
      <c r="P1" s="1" t="b">
        <f>new_billing_query_ungrouped!P1=original_billing_query!P1</f>
        <v>1</v>
      </c>
      <c r="Q1" s="1" t="b">
        <f>new_billing_query_ungrouped!Q1=original_billing_query!Q1</f>
        <v>1</v>
      </c>
      <c r="R1" s="1" t="b">
        <f>new_billing_query_ungrouped!R1=original_billing_query!R1</f>
        <v>1</v>
      </c>
    </row>
    <row r="2" spans="1:18" ht="15.75" customHeight="1" x14ac:dyDescent="0.15">
      <c r="A2" s="1" t="b">
        <f>new_billing_query_ungrouped!A2=original_billing_query!A2</f>
        <v>1</v>
      </c>
      <c r="B2" s="1" t="b">
        <f>new_billing_query_ungrouped!B2=original_billing_query!B2</f>
        <v>1</v>
      </c>
      <c r="C2" s="1" t="b">
        <f>new_billing_query_ungrouped!C2=original_billing_query!C2</f>
        <v>1</v>
      </c>
      <c r="D2" s="1" t="b">
        <f>new_billing_query_ungrouped!D2=original_billing_query!D2</f>
        <v>1</v>
      </c>
      <c r="E2" s="1" t="b">
        <f>new_billing_query_ungrouped!E2=original_billing_query!E2</f>
        <v>1</v>
      </c>
      <c r="F2" s="1" t="b">
        <f>new_billing_query_ungrouped!F2=original_billing_query!F2</f>
        <v>1</v>
      </c>
      <c r="G2" s="1" t="b">
        <f>new_billing_query_ungrouped!G2=original_billing_query!G2</f>
        <v>1</v>
      </c>
      <c r="H2" s="1" t="b">
        <f>new_billing_query_ungrouped!H2=original_billing_query!H2</f>
        <v>1</v>
      </c>
      <c r="I2" s="1" t="b">
        <f>new_billing_query_ungrouped!I2=original_billing_query!I2</f>
        <v>1</v>
      </c>
      <c r="J2" s="1" t="b">
        <f>new_billing_query_ungrouped!J2=original_billing_query!J2</f>
        <v>1</v>
      </c>
      <c r="K2" s="1" t="b">
        <f>new_billing_query_ungrouped!K2=original_billing_query!K2</f>
        <v>1</v>
      </c>
      <c r="L2" s="1" t="b">
        <f>new_billing_query_ungrouped!L2=original_billing_query!L2</f>
        <v>1</v>
      </c>
      <c r="M2" s="1" t="b">
        <f>new_billing_query_ungrouped!M2=original_billing_query!M2</f>
        <v>1</v>
      </c>
      <c r="N2" s="1" t="b">
        <f>new_billing_query_ungrouped!N2=original_billing_query!N2</f>
        <v>1</v>
      </c>
      <c r="O2" s="1" t="b">
        <f>new_billing_query_ungrouped!O2=original_billing_query!O2</f>
        <v>1</v>
      </c>
      <c r="P2" s="1" t="b">
        <f>new_billing_query_ungrouped!P2=original_billing_query!P2</f>
        <v>1</v>
      </c>
      <c r="Q2" s="1" t="b">
        <f>new_billing_query_ungrouped!Q2=original_billing_query!Q2</f>
        <v>1</v>
      </c>
      <c r="R2" s="1" t="b">
        <f>new_billing_query_ungrouped!R2=original_billing_query!R2</f>
        <v>1</v>
      </c>
    </row>
    <row r="3" spans="1:18" ht="15.75" customHeight="1" x14ac:dyDescent="0.15">
      <c r="A3" s="1" t="b">
        <f>new_billing_query_ungrouped!A3=original_billing_query!A3</f>
        <v>1</v>
      </c>
      <c r="B3" s="1" t="b">
        <f>new_billing_query_ungrouped!B3=original_billing_query!B3</f>
        <v>1</v>
      </c>
      <c r="C3" s="1" t="b">
        <f>new_billing_query_ungrouped!C3=original_billing_query!C3</f>
        <v>1</v>
      </c>
      <c r="D3" s="1" t="b">
        <f>new_billing_query_ungrouped!D3=original_billing_query!D3</f>
        <v>1</v>
      </c>
      <c r="E3" s="1" t="b">
        <f>new_billing_query_ungrouped!E3=original_billing_query!E3</f>
        <v>1</v>
      </c>
      <c r="F3" s="1" t="b">
        <f>new_billing_query_ungrouped!F3=original_billing_query!F3</f>
        <v>1</v>
      </c>
      <c r="G3" s="1" t="b">
        <f>new_billing_query_ungrouped!G3=original_billing_query!G3</f>
        <v>1</v>
      </c>
      <c r="H3" s="1" t="b">
        <f>new_billing_query_ungrouped!H3=original_billing_query!H3</f>
        <v>1</v>
      </c>
      <c r="I3" s="1" t="b">
        <f>new_billing_query_ungrouped!I3=original_billing_query!I3</f>
        <v>1</v>
      </c>
      <c r="J3" s="1" t="b">
        <f>new_billing_query_ungrouped!J3=original_billing_query!J3</f>
        <v>1</v>
      </c>
      <c r="K3" s="1" t="b">
        <f>new_billing_query_ungrouped!K3=original_billing_query!K3</f>
        <v>1</v>
      </c>
      <c r="L3" s="1" t="b">
        <f>new_billing_query_ungrouped!L3=original_billing_query!L3</f>
        <v>1</v>
      </c>
      <c r="M3" s="1" t="b">
        <f>new_billing_query_ungrouped!M3=original_billing_query!M3</f>
        <v>1</v>
      </c>
      <c r="N3" s="1" t="b">
        <f>new_billing_query_ungrouped!N3=original_billing_query!N3</f>
        <v>1</v>
      </c>
      <c r="O3" s="1" t="b">
        <f>new_billing_query_ungrouped!O3=original_billing_query!O3</f>
        <v>1</v>
      </c>
      <c r="P3" s="1" t="b">
        <f>new_billing_query_ungrouped!P3=original_billing_query!P3</f>
        <v>1</v>
      </c>
      <c r="Q3" s="1" t="b">
        <f>new_billing_query_ungrouped!Q3=original_billing_query!Q3</f>
        <v>1</v>
      </c>
      <c r="R3" s="1" t="b">
        <f>new_billing_query_ungrouped!R3=original_billing_query!R3</f>
        <v>1</v>
      </c>
    </row>
    <row r="4" spans="1:18" ht="15.75" customHeight="1" x14ac:dyDescent="0.15">
      <c r="A4" s="1" t="b">
        <f>new_billing_query_ungrouped!A4=original_billing_query!A4</f>
        <v>1</v>
      </c>
      <c r="B4" s="1" t="b">
        <f>new_billing_query_ungrouped!B4=original_billing_query!B4</f>
        <v>1</v>
      </c>
      <c r="C4" s="1" t="b">
        <f>new_billing_query_ungrouped!C4=original_billing_query!C4</f>
        <v>1</v>
      </c>
      <c r="D4" s="1" t="b">
        <f>new_billing_query_ungrouped!D4=original_billing_query!D4</f>
        <v>1</v>
      </c>
      <c r="E4" s="1" t="b">
        <f>new_billing_query_ungrouped!E4=original_billing_query!E4</f>
        <v>1</v>
      </c>
      <c r="F4" s="1" t="b">
        <f>new_billing_query_ungrouped!F4=original_billing_query!F4</f>
        <v>1</v>
      </c>
      <c r="G4" s="1" t="b">
        <f>new_billing_query_ungrouped!G4=original_billing_query!G4</f>
        <v>1</v>
      </c>
      <c r="H4" s="1" t="b">
        <f>new_billing_query_ungrouped!H4=original_billing_query!H4</f>
        <v>1</v>
      </c>
      <c r="I4" s="1" t="b">
        <f>new_billing_query_ungrouped!I4=original_billing_query!I4</f>
        <v>1</v>
      </c>
      <c r="J4" s="1" t="b">
        <f>new_billing_query_ungrouped!J4=original_billing_query!J4</f>
        <v>1</v>
      </c>
      <c r="K4" s="1" t="b">
        <f>new_billing_query_ungrouped!K4=original_billing_query!K4</f>
        <v>1</v>
      </c>
      <c r="L4" s="1" t="b">
        <f>new_billing_query_ungrouped!L4=original_billing_query!L4</f>
        <v>1</v>
      </c>
      <c r="M4" s="1" t="b">
        <f>new_billing_query_ungrouped!M4=original_billing_query!M4</f>
        <v>1</v>
      </c>
      <c r="N4" s="1" t="b">
        <f>new_billing_query_ungrouped!N4=original_billing_query!N4</f>
        <v>1</v>
      </c>
      <c r="O4" s="1" t="b">
        <f>new_billing_query_ungrouped!O4=original_billing_query!O4</f>
        <v>1</v>
      </c>
      <c r="P4" s="1" t="b">
        <f>new_billing_query_ungrouped!P4=original_billing_query!P4</f>
        <v>1</v>
      </c>
      <c r="Q4" s="1" t="b">
        <f>new_billing_query_ungrouped!Q4=original_billing_query!Q4</f>
        <v>1</v>
      </c>
      <c r="R4" s="1" t="b">
        <f>new_billing_query_ungrouped!R4=original_billing_query!R4</f>
        <v>1</v>
      </c>
    </row>
    <row r="5" spans="1:18" ht="15.75" customHeight="1" x14ac:dyDescent="0.15">
      <c r="A5" s="1" t="b">
        <f>new_billing_query_ungrouped!A5=original_billing_query!A5</f>
        <v>1</v>
      </c>
      <c r="B5" s="1" t="b">
        <f>new_billing_query_ungrouped!B5=original_billing_query!B5</f>
        <v>1</v>
      </c>
      <c r="C5" s="1" t="b">
        <f>new_billing_query_ungrouped!C5=original_billing_query!C5</f>
        <v>1</v>
      </c>
      <c r="D5" s="1" t="b">
        <f>new_billing_query_ungrouped!D5=original_billing_query!D5</f>
        <v>1</v>
      </c>
      <c r="E5" s="1" t="b">
        <f>new_billing_query_ungrouped!E5=original_billing_query!E5</f>
        <v>1</v>
      </c>
      <c r="F5" s="1" t="b">
        <f>new_billing_query_ungrouped!F5=original_billing_query!F5</f>
        <v>1</v>
      </c>
      <c r="G5" s="1" t="b">
        <f>new_billing_query_ungrouped!G5=original_billing_query!G5</f>
        <v>1</v>
      </c>
      <c r="H5" s="1" t="b">
        <f>new_billing_query_ungrouped!H5=original_billing_query!H5</f>
        <v>1</v>
      </c>
      <c r="I5" s="1" t="b">
        <f>new_billing_query_ungrouped!I5=original_billing_query!I5</f>
        <v>1</v>
      </c>
      <c r="J5" s="1" t="b">
        <f>new_billing_query_ungrouped!J5=original_billing_query!J5</f>
        <v>1</v>
      </c>
      <c r="K5" s="1" t="b">
        <f>new_billing_query_ungrouped!K5=original_billing_query!K5</f>
        <v>1</v>
      </c>
      <c r="L5" s="1" t="b">
        <f>new_billing_query_ungrouped!L5=original_billing_query!L5</f>
        <v>1</v>
      </c>
      <c r="M5" s="1" t="b">
        <f>new_billing_query_ungrouped!M5=original_billing_query!M5</f>
        <v>1</v>
      </c>
      <c r="N5" s="1" t="b">
        <f>new_billing_query_ungrouped!N5=original_billing_query!N5</f>
        <v>1</v>
      </c>
      <c r="O5" s="1" t="b">
        <f>new_billing_query_ungrouped!O5=original_billing_query!O5</f>
        <v>1</v>
      </c>
      <c r="P5" s="1" t="b">
        <f>new_billing_query_ungrouped!P5=original_billing_query!P5</f>
        <v>1</v>
      </c>
      <c r="Q5" s="1" t="b">
        <f>new_billing_query_ungrouped!Q5=original_billing_query!Q5</f>
        <v>1</v>
      </c>
      <c r="R5" s="1" t="b">
        <f>new_billing_query_ungrouped!R5=original_billing_query!R5</f>
        <v>1</v>
      </c>
    </row>
    <row r="6" spans="1:18" ht="15.75" customHeight="1" x14ac:dyDescent="0.15">
      <c r="A6" s="1" t="b">
        <f>new_billing_query_ungrouped!A6=original_billing_query!A6</f>
        <v>1</v>
      </c>
      <c r="B6" s="1" t="b">
        <f>new_billing_query_ungrouped!B6=original_billing_query!B6</f>
        <v>1</v>
      </c>
      <c r="C6" s="1" t="b">
        <f>new_billing_query_ungrouped!C6=original_billing_query!C6</f>
        <v>1</v>
      </c>
      <c r="D6" s="1" t="b">
        <f>new_billing_query_ungrouped!D6=original_billing_query!D6</f>
        <v>1</v>
      </c>
      <c r="E6" s="1" t="b">
        <f>new_billing_query_ungrouped!E6=original_billing_query!E6</f>
        <v>1</v>
      </c>
      <c r="F6" s="1" t="b">
        <f>new_billing_query_ungrouped!F6=original_billing_query!F6</f>
        <v>1</v>
      </c>
      <c r="G6" s="1" t="b">
        <f>new_billing_query_ungrouped!G6=original_billing_query!G6</f>
        <v>1</v>
      </c>
      <c r="H6" s="1" t="b">
        <f>new_billing_query_ungrouped!H6=original_billing_query!H6</f>
        <v>1</v>
      </c>
      <c r="I6" s="1" t="b">
        <f>new_billing_query_ungrouped!I6=original_billing_query!I6</f>
        <v>1</v>
      </c>
      <c r="J6" s="1" t="b">
        <f>new_billing_query_ungrouped!J6=original_billing_query!J6</f>
        <v>1</v>
      </c>
      <c r="K6" s="1" t="b">
        <f>new_billing_query_ungrouped!K6=original_billing_query!K6</f>
        <v>1</v>
      </c>
      <c r="L6" s="1" t="b">
        <f>new_billing_query_ungrouped!L6=original_billing_query!L6</f>
        <v>1</v>
      </c>
      <c r="M6" s="1" t="b">
        <f>new_billing_query_ungrouped!M6=original_billing_query!M6</f>
        <v>1</v>
      </c>
      <c r="N6" s="1" t="b">
        <f>new_billing_query_ungrouped!N6=original_billing_query!N6</f>
        <v>1</v>
      </c>
      <c r="O6" s="1" t="b">
        <f>new_billing_query_ungrouped!O6=original_billing_query!O6</f>
        <v>1</v>
      </c>
      <c r="P6" s="1" t="b">
        <f>new_billing_query_ungrouped!P6=original_billing_query!P6</f>
        <v>1</v>
      </c>
      <c r="Q6" s="1" t="b">
        <f>new_billing_query_ungrouped!Q6=original_billing_query!Q6</f>
        <v>1</v>
      </c>
      <c r="R6" s="1" t="b">
        <f>new_billing_query_ungrouped!R6=original_billing_query!R6</f>
        <v>1</v>
      </c>
    </row>
    <row r="7" spans="1:18" ht="15.75" customHeight="1" x14ac:dyDescent="0.15">
      <c r="A7" s="1" t="b">
        <f>new_billing_query_ungrouped!A7=original_billing_query!A7</f>
        <v>1</v>
      </c>
      <c r="B7" s="1" t="b">
        <f>new_billing_query_ungrouped!B7=original_billing_query!B7</f>
        <v>1</v>
      </c>
      <c r="C7" s="1" t="b">
        <f>new_billing_query_ungrouped!C7=original_billing_query!C7</f>
        <v>1</v>
      </c>
      <c r="D7" s="1" t="b">
        <f>new_billing_query_ungrouped!D7=original_billing_query!D7</f>
        <v>1</v>
      </c>
      <c r="E7" s="1" t="b">
        <f>new_billing_query_ungrouped!E7=original_billing_query!E7</f>
        <v>1</v>
      </c>
      <c r="F7" s="1" t="b">
        <f>new_billing_query_ungrouped!F7=original_billing_query!F7</f>
        <v>1</v>
      </c>
      <c r="G7" s="1" t="b">
        <f>new_billing_query_ungrouped!G7=original_billing_query!G7</f>
        <v>1</v>
      </c>
      <c r="H7" s="1" t="b">
        <f>new_billing_query_ungrouped!H7=original_billing_query!H7</f>
        <v>1</v>
      </c>
      <c r="I7" s="1" t="b">
        <f>new_billing_query_ungrouped!I7=original_billing_query!I7</f>
        <v>1</v>
      </c>
      <c r="J7" s="1" t="b">
        <f>new_billing_query_ungrouped!J7=original_billing_query!J7</f>
        <v>1</v>
      </c>
      <c r="K7" s="1" t="b">
        <f>new_billing_query_ungrouped!K7=original_billing_query!K7</f>
        <v>1</v>
      </c>
      <c r="L7" s="1" t="b">
        <f>new_billing_query_ungrouped!L7=original_billing_query!L7</f>
        <v>1</v>
      </c>
      <c r="M7" s="1" t="b">
        <f>new_billing_query_ungrouped!M7=original_billing_query!M7</f>
        <v>1</v>
      </c>
      <c r="N7" s="1" t="b">
        <f>new_billing_query_ungrouped!N7=original_billing_query!N7</f>
        <v>1</v>
      </c>
      <c r="O7" s="1" t="b">
        <f>new_billing_query_ungrouped!O7=original_billing_query!O7</f>
        <v>1</v>
      </c>
      <c r="P7" s="1" t="b">
        <f>new_billing_query_ungrouped!P7=original_billing_query!P7</f>
        <v>1</v>
      </c>
      <c r="Q7" s="1" t="b">
        <f>new_billing_query_ungrouped!Q7=original_billing_query!Q7</f>
        <v>1</v>
      </c>
      <c r="R7" s="1" t="b">
        <f>new_billing_query_ungrouped!R7=original_billing_query!R7</f>
        <v>1</v>
      </c>
    </row>
    <row r="8" spans="1:18" ht="15.75" customHeight="1" x14ac:dyDescent="0.15">
      <c r="A8" s="1" t="b">
        <f>new_billing_query_ungrouped!A8=original_billing_query!A8</f>
        <v>1</v>
      </c>
      <c r="B8" s="1" t="b">
        <f>new_billing_query_ungrouped!B8=original_billing_query!B8</f>
        <v>1</v>
      </c>
      <c r="C8" s="1" t="b">
        <f>new_billing_query_ungrouped!C8=original_billing_query!C8</f>
        <v>1</v>
      </c>
      <c r="D8" s="1" t="b">
        <f>new_billing_query_ungrouped!D8=original_billing_query!D8</f>
        <v>1</v>
      </c>
      <c r="E8" s="1" t="b">
        <f>new_billing_query_ungrouped!E8=original_billing_query!E8</f>
        <v>1</v>
      </c>
      <c r="F8" s="1" t="b">
        <f>new_billing_query_ungrouped!F8=original_billing_query!F8</f>
        <v>1</v>
      </c>
      <c r="G8" s="1" t="b">
        <f>new_billing_query_ungrouped!G8=original_billing_query!G8</f>
        <v>1</v>
      </c>
      <c r="H8" s="1" t="b">
        <f>new_billing_query_ungrouped!H8=original_billing_query!H8</f>
        <v>1</v>
      </c>
      <c r="I8" s="1" t="b">
        <f>new_billing_query_ungrouped!I8=original_billing_query!I8</f>
        <v>1</v>
      </c>
      <c r="J8" s="1" t="b">
        <f>new_billing_query_ungrouped!J8=original_billing_query!J8</f>
        <v>1</v>
      </c>
      <c r="K8" s="1" t="b">
        <f>new_billing_query_ungrouped!K8=original_billing_query!K8</f>
        <v>1</v>
      </c>
      <c r="L8" s="1" t="b">
        <f>new_billing_query_ungrouped!L8=original_billing_query!L8</f>
        <v>1</v>
      </c>
      <c r="M8" s="1" t="b">
        <f>new_billing_query_ungrouped!M8=original_billing_query!M8</f>
        <v>1</v>
      </c>
      <c r="N8" s="1" t="b">
        <f>new_billing_query_ungrouped!N8=original_billing_query!N8</f>
        <v>1</v>
      </c>
      <c r="O8" s="1" t="b">
        <f>new_billing_query_ungrouped!O8=original_billing_query!O8</f>
        <v>1</v>
      </c>
      <c r="P8" s="1" t="b">
        <f>new_billing_query_ungrouped!P8=original_billing_query!P8</f>
        <v>1</v>
      </c>
      <c r="Q8" s="1" t="b">
        <f>new_billing_query_ungrouped!Q8=original_billing_query!Q8</f>
        <v>1</v>
      </c>
      <c r="R8" s="1" t="b">
        <f>new_billing_query_ungrouped!R8=original_billing_query!R8</f>
        <v>1</v>
      </c>
    </row>
    <row r="9" spans="1:18" ht="15.75" customHeight="1" x14ac:dyDescent="0.15">
      <c r="A9" s="1" t="b">
        <f>new_billing_query_ungrouped!A9=original_billing_query!A9</f>
        <v>1</v>
      </c>
      <c r="B9" s="1" t="b">
        <f>new_billing_query_ungrouped!B9=original_billing_query!B9</f>
        <v>1</v>
      </c>
      <c r="C9" s="1" t="b">
        <f>new_billing_query_ungrouped!C9=original_billing_query!C9</f>
        <v>1</v>
      </c>
      <c r="D9" s="1" t="b">
        <f>new_billing_query_ungrouped!D9=original_billing_query!D9</f>
        <v>1</v>
      </c>
      <c r="E9" s="1" t="b">
        <f>new_billing_query_ungrouped!E9=original_billing_query!E9</f>
        <v>1</v>
      </c>
      <c r="F9" s="1" t="b">
        <f>new_billing_query_ungrouped!F9=original_billing_query!F9</f>
        <v>1</v>
      </c>
      <c r="G9" s="1" t="b">
        <f>new_billing_query_ungrouped!G9=original_billing_query!G9</f>
        <v>1</v>
      </c>
      <c r="H9" s="1" t="b">
        <f>new_billing_query_ungrouped!H9=original_billing_query!H9</f>
        <v>1</v>
      </c>
      <c r="I9" s="1" t="b">
        <f>new_billing_query_ungrouped!I9=original_billing_query!I9</f>
        <v>1</v>
      </c>
      <c r="J9" s="1" t="b">
        <f>new_billing_query_ungrouped!J9=original_billing_query!J9</f>
        <v>1</v>
      </c>
      <c r="K9" s="1" t="b">
        <f>new_billing_query_ungrouped!K9=original_billing_query!K9</f>
        <v>1</v>
      </c>
      <c r="L9" s="1" t="b">
        <f>new_billing_query_ungrouped!L9=original_billing_query!L9</f>
        <v>1</v>
      </c>
      <c r="M9" s="1" t="b">
        <f>new_billing_query_ungrouped!M9=original_billing_query!M9</f>
        <v>1</v>
      </c>
      <c r="N9" s="1" t="b">
        <f>new_billing_query_ungrouped!N9=original_billing_query!N9</f>
        <v>1</v>
      </c>
      <c r="O9" s="1" t="b">
        <f>new_billing_query_ungrouped!O9=original_billing_query!O9</f>
        <v>1</v>
      </c>
      <c r="P9" s="1" t="b">
        <f>new_billing_query_ungrouped!P9=original_billing_query!P9</f>
        <v>1</v>
      </c>
      <c r="Q9" s="1" t="b">
        <f>new_billing_query_ungrouped!Q9=original_billing_query!Q9</f>
        <v>1</v>
      </c>
      <c r="R9" s="1" t="b">
        <f>new_billing_query_ungrouped!R9=original_billing_query!R9</f>
        <v>1</v>
      </c>
    </row>
    <row r="10" spans="1:18" ht="15.75" customHeight="1" x14ac:dyDescent="0.15">
      <c r="A10" s="1" t="b">
        <f>new_billing_query_ungrouped!A10=original_billing_query!A10</f>
        <v>1</v>
      </c>
      <c r="B10" s="1" t="b">
        <f>new_billing_query_ungrouped!B10=original_billing_query!B10</f>
        <v>1</v>
      </c>
      <c r="C10" s="1" t="b">
        <f>new_billing_query_ungrouped!C10=original_billing_query!C10</f>
        <v>1</v>
      </c>
      <c r="D10" s="1" t="b">
        <f>new_billing_query_ungrouped!D10=original_billing_query!D10</f>
        <v>1</v>
      </c>
      <c r="E10" s="1" t="b">
        <f>new_billing_query_ungrouped!E10=original_billing_query!E10</f>
        <v>1</v>
      </c>
      <c r="F10" s="1" t="b">
        <f>new_billing_query_ungrouped!F10=original_billing_query!F10</f>
        <v>1</v>
      </c>
      <c r="G10" s="1" t="b">
        <f>new_billing_query_ungrouped!G10=original_billing_query!G10</f>
        <v>1</v>
      </c>
      <c r="H10" s="1" t="b">
        <f>new_billing_query_ungrouped!H10=original_billing_query!H10</f>
        <v>1</v>
      </c>
      <c r="I10" s="1" t="b">
        <f>new_billing_query_ungrouped!I10=original_billing_query!I10</f>
        <v>1</v>
      </c>
      <c r="J10" s="1" t="b">
        <f>new_billing_query_ungrouped!J10=original_billing_query!J10</f>
        <v>1</v>
      </c>
      <c r="K10" s="1" t="b">
        <f>new_billing_query_ungrouped!K10=original_billing_query!K10</f>
        <v>1</v>
      </c>
      <c r="L10" s="1" t="b">
        <f>new_billing_query_ungrouped!L10=original_billing_query!L10</f>
        <v>1</v>
      </c>
      <c r="M10" s="1" t="b">
        <f>new_billing_query_ungrouped!M10=original_billing_query!M10</f>
        <v>1</v>
      </c>
      <c r="N10" s="1" t="b">
        <f>new_billing_query_ungrouped!N10=original_billing_query!N10</f>
        <v>1</v>
      </c>
      <c r="O10" s="1" t="b">
        <f>new_billing_query_ungrouped!O10=original_billing_query!O10</f>
        <v>1</v>
      </c>
      <c r="P10" s="1" t="b">
        <f>new_billing_query_ungrouped!P10=original_billing_query!P10</f>
        <v>1</v>
      </c>
      <c r="Q10" s="1" t="b">
        <f>new_billing_query_ungrouped!Q10=original_billing_query!Q10</f>
        <v>1</v>
      </c>
      <c r="R10" s="1" t="b">
        <f>new_billing_query_ungrouped!R10=original_billing_query!R10</f>
        <v>1</v>
      </c>
    </row>
    <row r="11" spans="1:18" ht="15.75" customHeight="1" x14ac:dyDescent="0.15">
      <c r="A11" s="1" t="b">
        <f>new_billing_query_ungrouped!A11=original_billing_query!A11</f>
        <v>1</v>
      </c>
      <c r="B11" s="1" t="b">
        <f>new_billing_query_ungrouped!B11=original_billing_query!B11</f>
        <v>1</v>
      </c>
      <c r="C11" s="1" t="b">
        <f>new_billing_query_ungrouped!C11=original_billing_query!C11</f>
        <v>1</v>
      </c>
      <c r="D11" s="1" t="b">
        <f>new_billing_query_ungrouped!D11=original_billing_query!D11</f>
        <v>1</v>
      </c>
      <c r="E11" s="1" t="b">
        <f>new_billing_query_ungrouped!E11=original_billing_query!E11</f>
        <v>1</v>
      </c>
      <c r="F11" s="1" t="b">
        <f>new_billing_query_ungrouped!F11=original_billing_query!F11</f>
        <v>1</v>
      </c>
      <c r="G11" s="1" t="b">
        <f>new_billing_query_ungrouped!G11=original_billing_query!G11</f>
        <v>1</v>
      </c>
      <c r="H11" s="1" t="b">
        <f>new_billing_query_ungrouped!H11=original_billing_query!H11</f>
        <v>1</v>
      </c>
      <c r="I11" s="1" t="b">
        <f>new_billing_query_ungrouped!I11=original_billing_query!I11</f>
        <v>1</v>
      </c>
      <c r="J11" s="1" t="b">
        <f>new_billing_query_ungrouped!J11=original_billing_query!J11</f>
        <v>1</v>
      </c>
      <c r="K11" s="1" t="b">
        <f>new_billing_query_ungrouped!K11=original_billing_query!K11</f>
        <v>1</v>
      </c>
      <c r="L11" s="1" t="b">
        <f>new_billing_query_ungrouped!L11=original_billing_query!L11</f>
        <v>1</v>
      </c>
      <c r="M11" s="1" t="b">
        <f>new_billing_query_ungrouped!M11=original_billing_query!M11</f>
        <v>1</v>
      </c>
      <c r="N11" s="1" t="b">
        <f>new_billing_query_ungrouped!N11=original_billing_query!N11</f>
        <v>1</v>
      </c>
      <c r="O11" s="1" t="b">
        <f>new_billing_query_ungrouped!O11=original_billing_query!O11</f>
        <v>1</v>
      </c>
      <c r="P11" s="1" t="b">
        <f>new_billing_query_ungrouped!P11=original_billing_query!P11</f>
        <v>1</v>
      </c>
      <c r="Q11" s="1" t="b">
        <f>new_billing_query_ungrouped!Q11=original_billing_query!Q11</f>
        <v>1</v>
      </c>
      <c r="R11" s="1" t="b">
        <f>new_billing_query_ungrouped!R11=original_billing_query!R11</f>
        <v>1</v>
      </c>
    </row>
    <row r="12" spans="1:18" ht="15.75" customHeight="1" x14ac:dyDescent="0.15">
      <c r="A12" s="1" t="b">
        <f>new_billing_query_ungrouped!A12=original_billing_query!A12</f>
        <v>1</v>
      </c>
      <c r="B12" s="1" t="b">
        <f>new_billing_query_ungrouped!B12=original_billing_query!B12</f>
        <v>1</v>
      </c>
      <c r="C12" s="1" t="b">
        <f>new_billing_query_ungrouped!C12=original_billing_query!C12</f>
        <v>1</v>
      </c>
      <c r="D12" s="1" t="b">
        <f>new_billing_query_ungrouped!D12=original_billing_query!D12</f>
        <v>1</v>
      </c>
      <c r="E12" s="1" t="b">
        <f>new_billing_query_ungrouped!E12=original_billing_query!E12</f>
        <v>1</v>
      </c>
      <c r="F12" s="1" t="b">
        <f>new_billing_query_ungrouped!F12=original_billing_query!F12</f>
        <v>1</v>
      </c>
      <c r="G12" s="1" t="b">
        <f>new_billing_query_ungrouped!G12=original_billing_query!G12</f>
        <v>1</v>
      </c>
      <c r="H12" s="1" t="b">
        <f>new_billing_query_ungrouped!H12=original_billing_query!H12</f>
        <v>1</v>
      </c>
      <c r="I12" s="1" t="b">
        <f>new_billing_query_ungrouped!I12=original_billing_query!I12</f>
        <v>1</v>
      </c>
      <c r="J12" s="1" t="b">
        <f>new_billing_query_ungrouped!J12=original_billing_query!J12</f>
        <v>1</v>
      </c>
      <c r="K12" s="1" t="b">
        <f>new_billing_query_ungrouped!K12=original_billing_query!K12</f>
        <v>1</v>
      </c>
      <c r="L12" s="1" t="b">
        <f>new_billing_query_ungrouped!L12=original_billing_query!L12</f>
        <v>1</v>
      </c>
      <c r="M12" s="1" t="b">
        <f>new_billing_query_ungrouped!M12=original_billing_query!M12</f>
        <v>1</v>
      </c>
      <c r="N12" s="1" t="b">
        <f>new_billing_query_ungrouped!N12=original_billing_query!N12</f>
        <v>1</v>
      </c>
      <c r="O12" s="1" t="b">
        <f>new_billing_query_ungrouped!O12=original_billing_query!O12</f>
        <v>1</v>
      </c>
      <c r="P12" s="1" t="b">
        <f>new_billing_query_ungrouped!P12=original_billing_query!P12</f>
        <v>1</v>
      </c>
      <c r="Q12" s="1" t="b">
        <f>new_billing_query_ungrouped!Q12=original_billing_query!Q12</f>
        <v>1</v>
      </c>
      <c r="R12" s="1" t="b">
        <f>new_billing_query_ungrouped!R12=original_billing_query!R12</f>
        <v>1</v>
      </c>
    </row>
    <row r="13" spans="1:18" ht="15.75" customHeight="1" x14ac:dyDescent="0.15">
      <c r="A13" s="1" t="b">
        <f>new_billing_query_ungrouped!A13=original_billing_query!A13</f>
        <v>1</v>
      </c>
      <c r="B13" s="1" t="b">
        <f>new_billing_query_ungrouped!B13=original_billing_query!B13</f>
        <v>1</v>
      </c>
      <c r="C13" s="1" t="b">
        <f>new_billing_query_ungrouped!C13=original_billing_query!C13</f>
        <v>1</v>
      </c>
      <c r="D13" s="1" t="b">
        <f>new_billing_query_ungrouped!D13=original_billing_query!D13</f>
        <v>1</v>
      </c>
      <c r="E13" s="1" t="b">
        <f>new_billing_query_ungrouped!E13=original_billing_query!E13</f>
        <v>1</v>
      </c>
      <c r="F13" s="1" t="b">
        <f>new_billing_query_ungrouped!F13=original_billing_query!F13</f>
        <v>1</v>
      </c>
      <c r="G13" s="1" t="b">
        <f>new_billing_query_ungrouped!G13=original_billing_query!G13</f>
        <v>1</v>
      </c>
      <c r="H13" s="1" t="b">
        <f>new_billing_query_ungrouped!H13=original_billing_query!H13</f>
        <v>1</v>
      </c>
      <c r="I13" s="1" t="b">
        <f>new_billing_query_ungrouped!I13=original_billing_query!I13</f>
        <v>1</v>
      </c>
      <c r="J13" s="1" t="b">
        <f>new_billing_query_ungrouped!J13=original_billing_query!J13</f>
        <v>1</v>
      </c>
      <c r="K13" s="1" t="b">
        <f>new_billing_query_ungrouped!K13=original_billing_query!K13</f>
        <v>1</v>
      </c>
      <c r="L13" s="1" t="b">
        <f>new_billing_query_ungrouped!L13=original_billing_query!L13</f>
        <v>1</v>
      </c>
      <c r="M13" s="1" t="b">
        <f>new_billing_query_ungrouped!M13=original_billing_query!M13</f>
        <v>1</v>
      </c>
      <c r="N13" s="1" t="b">
        <f>new_billing_query_ungrouped!N13=original_billing_query!N13</f>
        <v>1</v>
      </c>
      <c r="O13" s="1" t="b">
        <f>new_billing_query_ungrouped!O13=original_billing_query!O13</f>
        <v>1</v>
      </c>
      <c r="P13" s="1" t="b">
        <f>new_billing_query_ungrouped!P13=original_billing_query!P13</f>
        <v>1</v>
      </c>
      <c r="Q13" s="1" t="b">
        <f>new_billing_query_ungrouped!Q13=original_billing_query!Q13</f>
        <v>1</v>
      </c>
      <c r="R13" s="1" t="b">
        <f>new_billing_query_ungrouped!R13=original_billing_query!R13</f>
        <v>1</v>
      </c>
    </row>
    <row r="14" spans="1:18" ht="15.75" customHeight="1" x14ac:dyDescent="0.15">
      <c r="A14" s="1" t="b">
        <f>new_billing_query_ungrouped!A14=original_billing_query!A14</f>
        <v>1</v>
      </c>
      <c r="B14" s="1" t="b">
        <f>new_billing_query_ungrouped!B14=original_billing_query!B14</f>
        <v>1</v>
      </c>
      <c r="C14" s="1" t="b">
        <f>new_billing_query_ungrouped!C14=original_billing_query!C14</f>
        <v>1</v>
      </c>
      <c r="D14" s="1" t="b">
        <f>new_billing_query_ungrouped!D14=original_billing_query!D14</f>
        <v>1</v>
      </c>
      <c r="E14" s="1" t="b">
        <f>new_billing_query_ungrouped!E14=original_billing_query!E14</f>
        <v>1</v>
      </c>
      <c r="F14" s="1" t="b">
        <f>new_billing_query_ungrouped!F14=original_billing_query!F14</f>
        <v>1</v>
      </c>
      <c r="G14" s="1" t="b">
        <f>new_billing_query_ungrouped!G14=original_billing_query!G14</f>
        <v>1</v>
      </c>
      <c r="H14" s="1" t="b">
        <f>new_billing_query_ungrouped!H14=original_billing_query!H14</f>
        <v>1</v>
      </c>
      <c r="I14" s="1" t="b">
        <f>new_billing_query_ungrouped!I14=original_billing_query!I14</f>
        <v>1</v>
      </c>
      <c r="J14" s="1" t="b">
        <f>new_billing_query_ungrouped!J14=original_billing_query!J14</f>
        <v>1</v>
      </c>
      <c r="K14" s="1" t="b">
        <f>new_billing_query_ungrouped!K14=original_billing_query!K14</f>
        <v>1</v>
      </c>
      <c r="L14" s="1" t="b">
        <f>new_billing_query_ungrouped!L14=original_billing_query!L14</f>
        <v>1</v>
      </c>
      <c r="M14" s="1" t="b">
        <f>new_billing_query_ungrouped!M14=original_billing_query!M14</f>
        <v>1</v>
      </c>
      <c r="N14" s="1" t="b">
        <f>new_billing_query_ungrouped!N14=original_billing_query!N14</f>
        <v>1</v>
      </c>
      <c r="O14" s="1" t="b">
        <f>new_billing_query_ungrouped!O14=original_billing_query!O14</f>
        <v>1</v>
      </c>
      <c r="P14" s="1" t="b">
        <f>new_billing_query_ungrouped!P14=original_billing_query!P14</f>
        <v>1</v>
      </c>
      <c r="Q14" s="1" t="b">
        <f>new_billing_query_ungrouped!Q14=original_billing_query!Q14</f>
        <v>1</v>
      </c>
      <c r="R14" s="1" t="b">
        <f>new_billing_query_ungrouped!R14=original_billing_query!R14</f>
        <v>1</v>
      </c>
    </row>
    <row r="15" spans="1:18" ht="15.75" customHeight="1" x14ac:dyDescent="0.15">
      <c r="A15" s="1" t="b">
        <f>new_billing_query_ungrouped!A15=original_billing_query!A15</f>
        <v>1</v>
      </c>
      <c r="B15" s="1" t="b">
        <f>new_billing_query_ungrouped!B15=original_billing_query!B15</f>
        <v>1</v>
      </c>
      <c r="C15" s="1" t="b">
        <f>new_billing_query_ungrouped!C15=original_billing_query!C15</f>
        <v>1</v>
      </c>
      <c r="D15" s="1" t="b">
        <f>new_billing_query_ungrouped!D15=original_billing_query!D15</f>
        <v>1</v>
      </c>
      <c r="E15" s="1" t="b">
        <f>new_billing_query_ungrouped!E15=original_billing_query!E15</f>
        <v>1</v>
      </c>
      <c r="F15" s="1" t="b">
        <f>new_billing_query_ungrouped!F15=original_billing_query!F15</f>
        <v>1</v>
      </c>
      <c r="G15" s="1" t="b">
        <f>new_billing_query_ungrouped!G15=original_billing_query!G15</f>
        <v>1</v>
      </c>
      <c r="H15" s="1" t="b">
        <f>new_billing_query_ungrouped!H15=original_billing_query!H15</f>
        <v>1</v>
      </c>
      <c r="I15" s="1" t="b">
        <f>new_billing_query_ungrouped!I15=original_billing_query!I15</f>
        <v>1</v>
      </c>
      <c r="J15" s="1" t="b">
        <f>new_billing_query_ungrouped!J15=original_billing_query!J15</f>
        <v>1</v>
      </c>
      <c r="K15" s="1" t="b">
        <f>new_billing_query_ungrouped!K15=original_billing_query!K15</f>
        <v>1</v>
      </c>
      <c r="L15" s="1" t="b">
        <f>new_billing_query_ungrouped!L15=original_billing_query!L15</f>
        <v>1</v>
      </c>
      <c r="M15" s="1" t="b">
        <f>new_billing_query_ungrouped!M15=original_billing_query!M15</f>
        <v>1</v>
      </c>
      <c r="N15" s="1" t="b">
        <f>new_billing_query_ungrouped!N15=original_billing_query!N15</f>
        <v>1</v>
      </c>
      <c r="O15" s="1" t="b">
        <f>new_billing_query_ungrouped!O15=original_billing_query!O15</f>
        <v>1</v>
      </c>
      <c r="P15" s="1" t="b">
        <f>new_billing_query_ungrouped!P15=original_billing_query!P15</f>
        <v>1</v>
      </c>
      <c r="Q15" s="1" t="b">
        <f>new_billing_query_ungrouped!Q15=original_billing_query!Q15</f>
        <v>1</v>
      </c>
      <c r="R15" s="1" t="b">
        <f>new_billing_query_ungrouped!R15=original_billing_query!R15</f>
        <v>1</v>
      </c>
    </row>
    <row r="16" spans="1:18" ht="15.75" customHeight="1" x14ac:dyDescent="0.15">
      <c r="A16" s="1" t="b">
        <f>new_billing_query_ungrouped!A16=original_billing_query!A16</f>
        <v>1</v>
      </c>
      <c r="B16" s="1" t="b">
        <f>new_billing_query_ungrouped!B16=original_billing_query!B16</f>
        <v>1</v>
      </c>
      <c r="C16" s="1" t="b">
        <f>new_billing_query_ungrouped!C16=original_billing_query!C16</f>
        <v>1</v>
      </c>
      <c r="D16" s="1" t="b">
        <f>new_billing_query_ungrouped!D16=original_billing_query!D16</f>
        <v>1</v>
      </c>
      <c r="E16" s="1" t="b">
        <f>new_billing_query_ungrouped!E16=original_billing_query!E16</f>
        <v>1</v>
      </c>
      <c r="F16" s="1" t="b">
        <f>new_billing_query_ungrouped!F16=original_billing_query!F16</f>
        <v>1</v>
      </c>
      <c r="G16" s="1" t="b">
        <f>new_billing_query_ungrouped!G16=original_billing_query!G16</f>
        <v>1</v>
      </c>
      <c r="H16" s="1" t="b">
        <f>new_billing_query_ungrouped!H16=original_billing_query!H16</f>
        <v>1</v>
      </c>
      <c r="I16" s="1" t="b">
        <f>new_billing_query_ungrouped!I16=original_billing_query!I16</f>
        <v>1</v>
      </c>
      <c r="J16" s="1" t="b">
        <f>new_billing_query_ungrouped!J16=original_billing_query!J16</f>
        <v>1</v>
      </c>
      <c r="K16" s="1" t="b">
        <f>new_billing_query_ungrouped!K16=original_billing_query!K16</f>
        <v>1</v>
      </c>
      <c r="L16" s="1" t="b">
        <f>new_billing_query_ungrouped!L16=original_billing_query!L16</f>
        <v>1</v>
      </c>
      <c r="M16" s="1" t="b">
        <f>new_billing_query_ungrouped!M16=original_billing_query!M16</f>
        <v>1</v>
      </c>
      <c r="N16" s="1" t="b">
        <f>new_billing_query_ungrouped!N16=original_billing_query!N16</f>
        <v>1</v>
      </c>
      <c r="O16" s="1" t="b">
        <f>new_billing_query_ungrouped!O16=original_billing_query!O16</f>
        <v>1</v>
      </c>
      <c r="P16" s="1" t="b">
        <f>new_billing_query_ungrouped!P16=original_billing_query!P16</f>
        <v>1</v>
      </c>
      <c r="Q16" s="1" t="b">
        <f>new_billing_query_ungrouped!Q16=original_billing_query!Q16</f>
        <v>1</v>
      </c>
      <c r="R16" s="1" t="b">
        <f>new_billing_query_ungrouped!R16=original_billing_query!R16</f>
        <v>1</v>
      </c>
    </row>
    <row r="17" spans="1:18" ht="15.75" customHeight="1" x14ac:dyDescent="0.15">
      <c r="A17" s="1" t="b">
        <f>new_billing_query_ungrouped!A17=original_billing_query!A17</f>
        <v>1</v>
      </c>
      <c r="B17" s="1" t="b">
        <f>new_billing_query_ungrouped!B17=original_billing_query!B17</f>
        <v>1</v>
      </c>
      <c r="C17" s="1" t="b">
        <f>new_billing_query_ungrouped!C17=original_billing_query!C17</f>
        <v>1</v>
      </c>
      <c r="D17" s="1" t="b">
        <f>new_billing_query_ungrouped!D17=original_billing_query!D17</f>
        <v>1</v>
      </c>
      <c r="E17" s="1" t="b">
        <f>new_billing_query_ungrouped!E17=original_billing_query!E17</f>
        <v>1</v>
      </c>
      <c r="F17" s="1" t="b">
        <f>new_billing_query_ungrouped!F17=original_billing_query!F17</f>
        <v>1</v>
      </c>
      <c r="G17" s="1" t="b">
        <f>new_billing_query_ungrouped!G17=original_billing_query!G17</f>
        <v>1</v>
      </c>
      <c r="H17" s="1" t="b">
        <f>new_billing_query_ungrouped!H17=original_billing_query!H17</f>
        <v>1</v>
      </c>
      <c r="I17" s="1" t="b">
        <f>new_billing_query_ungrouped!I17=original_billing_query!I17</f>
        <v>1</v>
      </c>
      <c r="J17" s="1" t="b">
        <f>new_billing_query_ungrouped!J17=original_billing_query!J17</f>
        <v>1</v>
      </c>
      <c r="K17" s="1" t="b">
        <f>new_billing_query_ungrouped!K17=original_billing_query!K17</f>
        <v>1</v>
      </c>
      <c r="L17" s="1" t="b">
        <f>new_billing_query_ungrouped!L17=original_billing_query!L17</f>
        <v>1</v>
      </c>
      <c r="M17" s="1" t="b">
        <f>new_billing_query_ungrouped!M17=original_billing_query!M17</f>
        <v>1</v>
      </c>
      <c r="N17" s="1" t="b">
        <f>new_billing_query_ungrouped!N17=original_billing_query!N17</f>
        <v>1</v>
      </c>
      <c r="O17" s="1" t="b">
        <f>new_billing_query_ungrouped!O17=original_billing_query!O17</f>
        <v>1</v>
      </c>
      <c r="P17" s="1" t="b">
        <f>new_billing_query_ungrouped!P17=original_billing_query!P17</f>
        <v>1</v>
      </c>
      <c r="Q17" s="1" t="b">
        <f>new_billing_query_ungrouped!Q17=original_billing_query!Q17</f>
        <v>1</v>
      </c>
      <c r="R17" s="1" t="b">
        <f>new_billing_query_ungrouped!R17=original_billing_query!R17</f>
        <v>1</v>
      </c>
    </row>
    <row r="18" spans="1:18" ht="15.75" customHeight="1" x14ac:dyDescent="0.15">
      <c r="A18" s="1" t="b">
        <f>new_billing_query_ungrouped!A18=original_billing_query!A18</f>
        <v>1</v>
      </c>
      <c r="B18" s="1" t="b">
        <f>new_billing_query_ungrouped!B18=original_billing_query!B18</f>
        <v>1</v>
      </c>
      <c r="C18" s="1" t="b">
        <f>new_billing_query_ungrouped!C18=original_billing_query!C18</f>
        <v>1</v>
      </c>
      <c r="D18" s="1" t="b">
        <f>new_billing_query_ungrouped!D18=original_billing_query!D18</f>
        <v>1</v>
      </c>
      <c r="E18" s="1" t="b">
        <f>new_billing_query_ungrouped!E18=original_billing_query!E18</f>
        <v>1</v>
      </c>
      <c r="F18" s="1" t="b">
        <f>new_billing_query_ungrouped!F18=original_billing_query!F18</f>
        <v>1</v>
      </c>
      <c r="G18" s="1" t="b">
        <f>new_billing_query_ungrouped!G18=original_billing_query!G18</f>
        <v>1</v>
      </c>
      <c r="H18" s="1" t="b">
        <f>new_billing_query_ungrouped!H18=original_billing_query!H18</f>
        <v>1</v>
      </c>
      <c r="I18" s="1" t="b">
        <f>new_billing_query_ungrouped!I18=original_billing_query!I18</f>
        <v>1</v>
      </c>
      <c r="J18" s="1" t="b">
        <f>new_billing_query_ungrouped!J18=original_billing_query!J18</f>
        <v>1</v>
      </c>
      <c r="K18" s="1" t="b">
        <f>new_billing_query_ungrouped!K18=original_billing_query!K18</f>
        <v>1</v>
      </c>
      <c r="L18" s="1" t="b">
        <f>new_billing_query_ungrouped!L18=original_billing_query!L18</f>
        <v>1</v>
      </c>
      <c r="M18" s="1" t="b">
        <f>new_billing_query_ungrouped!M18=original_billing_query!M18</f>
        <v>1</v>
      </c>
      <c r="N18" s="1" t="b">
        <f>new_billing_query_ungrouped!N18=original_billing_query!N18</f>
        <v>1</v>
      </c>
      <c r="O18" s="1" t="b">
        <f>new_billing_query_ungrouped!O18=original_billing_query!O18</f>
        <v>1</v>
      </c>
      <c r="P18" s="1" t="b">
        <f>new_billing_query_ungrouped!P18=original_billing_query!P18</f>
        <v>1</v>
      </c>
      <c r="Q18" s="1" t="b">
        <f>new_billing_query_ungrouped!Q18=original_billing_query!Q18</f>
        <v>1</v>
      </c>
      <c r="R18" s="1" t="b">
        <f>new_billing_query_ungrouped!R18=original_billing_query!R18</f>
        <v>1</v>
      </c>
    </row>
    <row r="19" spans="1:18" ht="15.75" customHeight="1" x14ac:dyDescent="0.15">
      <c r="A19" s="1" t="b">
        <f>new_billing_query_ungrouped!A19=original_billing_query!A19</f>
        <v>1</v>
      </c>
      <c r="B19" s="1" t="b">
        <f>new_billing_query_ungrouped!B19=original_billing_query!B19</f>
        <v>1</v>
      </c>
      <c r="C19" s="1" t="b">
        <f>new_billing_query_ungrouped!C19=original_billing_query!C19</f>
        <v>1</v>
      </c>
      <c r="D19" s="1" t="b">
        <f>new_billing_query_ungrouped!D19=original_billing_query!D19</f>
        <v>1</v>
      </c>
      <c r="E19" s="1" t="b">
        <f>new_billing_query_ungrouped!E19=original_billing_query!E19</f>
        <v>1</v>
      </c>
      <c r="F19" s="1" t="b">
        <f>new_billing_query_ungrouped!F19=original_billing_query!F19</f>
        <v>1</v>
      </c>
      <c r="G19" s="1" t="b">
        <f>new_billing_query_ungrouped!G19=original_billing_query!G19</f>
        <v>1</v>
      </c>
      <c r="H19" s="1" t="b">
        <f>new_billing_query_ungrouped!H19=original_billing_query!H19</f>
        <v>1</v>
      </c>
      <c r="I19" s="1" t="b">
        <f>new_billing_query_ungrouped!I19=original_billing_query!I19</f>
        <v>1</v>
      </c>
      <c r="J19" s="1" t="b">
        <f>new_billing_query_ungrouped!J19=original_billing_query!J19</f>
        <v>1</v>
      </c>
      <c r="K19" s="1" t="b">
        <f>new_billing_query_ungrouped!K19=original_billing_query!K19</f>
        <v>1</v>
      </c>
      <c r="L19" s="1" t="b">
        <f>new_billing_query_ungrouped!L19=original_billing_query!L19</f>
        <v>1</v>
      </c>
      <c r="M19" s="1" t="b">
        <f>new_billing_query_ungrouped!M19=original_billing_query!M19</f>
        <v>1</v>
      </c>
      <c r="N19" s="1" t="b">
        <f>new_billing_query_ungrouped!N19=original_billing_query!N19</f>
        <v>1</v>
      </c>
      <c r="O19" s="1" t="b">
        <f>new_billing_query_ungrouped!O19=original_billing_query!O19</f>
        <v>1</v>
      </c>
      <c r="P19" s="1" t="b">
        <f>new_billing_query_ungrouped!P19=original_billing_query!P19</f>
        <v>1</v>
      </c>
      <c r="Q19" s="1" t="b">
        <f>new_billing_query_ungrouped!Q19=original_billing_query!Q19</f>
        <v>1</v>
      </c>
      <c r="R19" s="1" t="b">
        <f>new_billing_query_ungrouped!R19=original_billing_query!R19</f>
        <v>1</v>
      </c>
    </row>
    <row r="20" spans="1:18" ht="15.75" customHeight="1" x14ac:dyDescent="0.15">
      <c r="A20" s="1" t="b">
        <f>new_billing_query_ungrouped!A20=original_billing_query!A20</f>
        <v>1</v>
      </c>
      <c r="B20" s="1" t="b">
        <f>new_billing_query_ungrouped!B20=original_billing_query!B20</f>
        <v>1</v>
      </c>
      <c r="C20" s="1" t="b">
        <f>new_billing_query_ungrouped!C20=original_billing_query!C20</f>
        <v>1</v>
      </c>
      <c r="D20" s="1" t="b">
        <f>new_billing_query_ungrouped!D20=original_billing_query!D20</f>
        <v>1</v>
      </c>
      <c r="E20" s="1" t="b">
        <f>new_billing_query_ungrouped!E20=original_billing_query!E20</f>
        <v>1</v>
      </c>
      <c r="F20" s="1" t="b">
        <f>new_billing_query_ungrouped!F20=original_billing_query!F20</f>
        <v>1</v>
      </c>
      <c r="G20" s="1" t="b">
        <f>new_billing_query_ungrouped!G20=original_billing_query!G20</f>
        <v>1</v>
      </c>
      <c r="H20" s="1" t="b">
        <f>new_billing_query_ungrouped!H20=original_billing_query!H20</f>
        <v>1</v>
      </c>
      <c r="I20" s="1" t="b">
        <f>new_billing_query_ungrouped!I20=original_billing_query!I20</f>
        <v>1</v>
      </c>
      <c r="J20" s="1" t="b">
        <f>new_billing_query_ungrouped!J20=original_billing_query!J20</f>
        <v>1</v>
      </c>
      <c r="K20" s="1" t="b">
        <f>new_billing_query_ungrouped!K20=original_billing_query!K20</f>
        <v>1</v>
      </c>
      <c r="L20" s="1" t="b">
        <f>new_billing_query_ungrouped!L20=original_billing_query!L20</f>
        <v>1</v>
      </c>
      <c r="M20" s="1" t="b">
        <f>new_billing_query_ungrouped!M20=original_billing_query!M20</f>
        <v>1</v>
      </c>
      <c r="N20" s="1" t="b">
        <f>new_billing_query_ungrouped!N20=original_billing_query!N20</f>
        <v>1</v>
      </c>
      <c r="O20" s="1" t="b">
        <f>new_billing_query_ungrouped!O20=original_billing_query!O20</f>
        <v>1</v>
      </c>
      <c r="P20" s="1" t="b">
        <f>new_billing_query_ungrouped!P20=original_billing_query!P20</f>
        <v>1</v>
      </c>
      <c r="Q20" s="1" t="b">
        <f>new_billing_query_ungrouped!Q20=original_billing_query!Q20</f>
        <v>1</v>
      </c>
      <c r="R20" s="1" t="b">
        <f>new_billing_query_ungrouped!R20=original_billing_query!R20</f>
        <v>1</v>
      </c>
    </row>
    <row r="21" spans="1:18" ht="15.75" customHeight="1" x14ac:dyDescent="0.15">
      <c r="A21" s="1" t="b">
        <f>new_billing_query_ungrouped!A21=original_billing_query!A21</f>
        <v>1</v>
      </c>
      <c r="B21" s="1" t="b">
        <f>new_billing_query_ungrouped!B21=original_billing_query!B21</f>
        <v>1</v>
      </c>
      <c r="C21" s="1" t="b">
        <f>new_billing_query_ungrouped!C21=original_billing_query!C21</f>
        <v>1</v>
      </c>
      <c r="D21" s="1" t="b">
        <f>new_billing_query_ungrouped!D21=original_billing_query!D21</f>
        <v>1</v>
      </c>
      <c r="E21" s="1" t="b">
        <f>new_billing_query_ungrouped!E21=original_billing_query!E21</f>
        <v>1</v>
      </c>
      <c r="F21" s="1" t="b">
        <f>new_billing_query_ungrouped!F21=original_billing_query!F21</f>
        <v>1</v>
      </c>
      <c r="G21" s="1" t="b">
        <f>new_billing_query_ungrouped!G21=original_billing_query!G21</f>
        <v>1</v>
      </c>
      <c r="H21" s="1" t="b">
        <f>new_billing_query_ungrouped!H21=original_billing_query!H21</f>
        <v>1</v>
      </c>
      <c r="I21" s="1" t="b">
        <f>new_billing_query_ungrouped!I21=original_billing_query!I21</f>
        <v>1</v>
      </c>
      <c r="J21" s="1" t="b">
        <f>new_billing_query_ungrouped!J21=original_billing_query!J21</f>
        <v>1</v>
      </c>
      <c r="K21" s="1" t="b">
        <f>new_billing_query_ungrouped!K21=original_billing_query!K21</f>
        <v>1</v>
      </c>
      <c r="L21" s="1" t="b">
        <f>new_billing_query_ungrouped!L21=original_billing_query!L21</f>
        <v>1</v>
      </c>
      <c r="M21" s="1" t="b">
        <f>new_billing_query_ungrouped!M21=original_billing_query!M21</f>
        <v>1</v>
      </c>
      <c r="N21" s="1" t="b">
        <f>new_billing_query_ungrouped!N21=original_billing_query!N21</f>
        <v>1</v>
      </c>
      <c r="O21" s="1" t="b">
        <f>new_billing_query_ungrouped!O21=original_billing_query!O21</f>
        <v>1</v>
      </c>
      <c r="P21" s="1" t="b">
        <f>new_billing_query_ungrouped!P21=original_billing_query!P21</f>
        <v>1</v>
      </c>
      <c r="Q21" s="1" t="b">
        <f>new_billing_query_ungrouped!Q21=original_billing_query!Q21</f>
        <v>1</v>
      </c>
      <c r="R21" s="1" t="b">
        <f>new_billing_query_ungrouped!R21=original_billing_query!R21</f>
        <v>1</v>
      </c>
    </row>
    <row r="22" spans="1:18" ht="15.75" customHeight="1" x14ac:dyDescent="0.15">
      <c r="A22" s="1" t="b">
        <f>new_billing_query_ungrouped!A22=original_billing_query!A22</f>
        <v>1</v>
      </c>
      <c r="B22" s="1" t="b">
        <f>new_billing_query_ungrouped!B22=original_billing_query!B22</f>
        <v>1</v>
      </c>
      <c r="C22" s="1" t="b">
        <f>new_billing_query_ungrouped!C22=original_billing_query!C22</f>
        <v>1</v>
      </c>
      <c r="D22" s="1" t="b">
        <f>new_billing_query_ungrouped!D22=original_billing_query!D22</f>
        <v>1</v>
      </c>
      <c r="E22" s="1" t="b">
        <f>new_billing_query_ungrouped!E22=original_billing_query!E22</f>
        <v>1</v>
      </c>
      <c r="F22" s="1" t="b">
        <f>new_billing_query_ungrouped!F22=original_billing_query!F22</f>
        <v>1</v>
      </c>
      <c r="G22" s="1" t="b">
        <f>new_billing_query_ungrouped!G22=original_billing_query!G22</f>
        <v>1</v>
      </c>
      <c r="H22" s="1" t="b">
        <f>new_billing_query_ungrouped!H22=original_billing_query!H22</f>
        <v>1</v>
      </c>
      <c r="I22" s="1" t="b">
        <f>new_billing_query_ungrouped!I22=original_billing_query!I22</f>
        <v>1</v>
      </c>
      <c r="J22" s="1" t="b">
        <f>new_billing_query_ungrouped!J22=original_billing_query!J22</f>
        <v>1</v>
      </c>
      <c r="K22" s="1" t="b">
        <f>new_billing_query_ungrouped!K22=original_billing_query!K22</f>
        <v>1</v>
      </c>
      <c r="L22" s="1" t="b">
        <f>new_billing_query_ungrouped!L22=original_billing_query!L22</f>
        <v>1</v>
      </c>
      <c r="M22" s="1" t="b">
        <f>new_billing_query_ungrouped!M22=original_billing_query!M22</f>
        <v>1</v>
      </c>
      <c r="N22" s="1" t="b">
        <f>new_billing_query_ungrouped!N22=original_billing_query!N22</f>
        <v>1</v>
      </c>
      <c r="O22" s="1" t="b">
        <f>new_billing_query_ungrouped!O22=original_billing_query!O22</f>
        <v>1</v>
      </c>
      <c r="P22" s="1" t="b">
        <f>new_billing_query_ungrouped!P22=original_billing_query!P22</f>
        <v>1</v>
      </c>
      <c r="Q22" s="1" t="b">
        <f>new_billing_query_ungrouped!Q22=original_billing_query!Q22</f>
        <v>1</v>
      </c>
      <c r="R22" s="1" t="b">
        <f>new_billing_query_ungrouped!R22=original_billing_query!R22</f>
        <v>1</v>
      </c>
    </row>
    <row r="23" spans="1:18" ht="15.75" customHeight="1" x14ac:dyDescent="0.15">
      <c r="A23" s="1" t="b">
        <f>new_billing_query_ungrouped!A23=original_billing_query!A23</f>
        <v>1</v>
      </c>
      <c r="B23" s="1" t="b">
        <f>new_billing_query_ungrouped!B23=original_billing_query!B23</f>
        <v>1</v>
      </c>
      <c r="C23" s="1" t="b">
        <f>new_billing_query_ungrouped!C23=original_billing_query!C23</f>
        <v>1</v>
      </c>
      <c r="D23" s="1" t="b">
        <f>new_billing_query_ungrouped!D23=original_billing_query!D23</f>
        <v>1</v>
      </c>
      <c r="E23" s="1" t="b">
        <f>new_billing_query_ungrouped!E23=original_billing_query!E23</f>
        <v>1</v>
      </c>
      <c r="F23" s="1" t="b">
        <f>new_billing_query_ungrouped!F23=original_billing_query!F23</f>
        <v>1</v>
      </c>
      <c r="G23" s="1" t="b">
        <f>new_billing_query_ungrouped!G23=original_billing_query!G23</f>
        <v>1</v>
      </c>
      <c r="H23" s="1" t="b">
        <f>new_billing_query_ungrouped!H23=original_billing_query!H23</f>
        <v>1</v>
      </c>
      <c r="I23" s="1" t="b">
        <f>new_billing_query_ungrouped!I23=original_billing_query!I23</f>
        <v>1</v>
      </c>
      <c r="J23" s="1" t="b">
        <f>new_billing_query_ungrouped!J23=original_billing_query!J23</f>
        <v>1</v>
      </c>
      <c r="K23" s="1" t="b">
        <f>new_billing_query_ungrouped!K23=original_billing_query!K23</f>
        <v>1</v>
      </c>
      <c r="L23" s="1" t="b">
        <f>new_billing_query_ungrouped!L23=original_billing_query!L23</f>
        <v>1</v>
      </c>
      <c r="M23" s="1" t="b">
        <f>new_billing_query_ungrouped!M23=original_billing_query!M23</f>
        <v>1</v>
      </c>
      <c r="N23" s="1" t="b">
        <f>new_billing_query_ungrouped!N23=original_billing_query!N23</f>
        <v>1</v>
      </c>
      <c r="O23" s="1" t="b">
        <f>new_billing_query_ungrouped!O23=original_billing_query!O23</f>
        <v>1</v>
      </c>
      <c r="P23" s="1" t="b">
        <f>new_billing_query_ungrouped!P23=original_billing_query!P23</f>
        <v>1</v>
      </c>
      <c r="Q23" s="1" t="b">
        <f>new_billing_query_ungrouped!Q23=original_billing_query!Q23</f>
        <v>1</v>
      </c>
      <c r="R23" s="1" t="b">
        <f>new_billing_query_ungrouped!R23=original_billing_query!R23</f>
        <v>1</v>
      </c>
    </row>
    <row r="24" spans="1:18" ht="15.75" customHeight="1" x14ac:dyDescent="0.15">
      <c r="A24" s="1" t="b">
        <f>new_billing_query_ungrouped!A24=original_billing_query!A24</f>
        <v>1</v>
      </c>
      <c r="B24" s="1" t="b">
        <f>new_billing_query_ungrouped!B24=original_billing_query!B24</f>
        <v>1</v>
      </c>
      <c r="C24" s="1" t="b">
        <f>new_billing_query_ungrouped!C24=original_billing_query!C24</f>
        <v>1</v>
      </c>
      <c r="D24" s="1" t="b">
        <f>new_billing_query_ungrouped!D24=original_billing_query!D24</f>
        <v>1</v>
      </c>
      <c r="E24" s="1" t="b">
        <f>new_billing_query_ungrouped!E24=original_billing_query!E24</f>
        <v>1</v>
      </c>
      <c r="F24" s="1" t="b">
        <f>new_billing_query_ungrouped!F24=original_billing_query!F24</f>
        <v>1</v>
      </c>
      <c r="G24" s="1" t="b">
        <f>new_billing_query_ungrouped!G24=original_billing_query!G24</f>
        <v>1</v>
      </c>
      <c r="H24" s="1" t="b">
        <f>new_billing_query_ungrouped!H24=original_billing_query!H24</f>
        <v>1</v>
      </c>
      <c r="I24" s="1" t="b">
        <f>new_billing_query_ungrouped!I24=original_billing_query!I24</f>
        <v>1</v>
      </c>
      <c r="J24" s="1" t="b">
        <f>new_billing_query_ungrouped!J24=original_billing_query!J24</f>
        <v>1</v>
      </c>
      <c r="K24" s="1" t="b">
        <f>new_billing_query_ungrouped!K24=original_billing_query!K24</f>
        <v>1</v>
      </c>
      <c r="L24" s="1" t="b">
        <f>new_billing_query_ungrouped!L24=original_billing_query!L24</f>
        <v>1</v>
      </c>
      <c r="M24" s="1" t="b">
        <f>new_billing_query_ungrouped!M24=original_billing_query!M24</f>
        <v>1</v>
      </c>
      <c r="N24" s="1" t="b">
        <f>new_billing_query_ungrouped!N24=original_billing_query!N24</f>
        <v>1</v>
      </c>
      <c r="O24" s="1" t="b">
        <f>new_billing_query_ungrouped!O24=original_billing_query!O24</f>
        <v>1</v>
      </c>
      <c r="P24" s="1" t="b">
        <f>new_billing_query_ungrouped!P24=original_billing_query!P24</f>
        <v>1</v>
      </c>
      <c r="Q24" s="1" t="b">
        <f>new_billing_query_ungrouped!Q24=original_billing_query!Q24</f>
        <v>1</v>
      </c>
      <c r="R24" s="1" t="b">
        <f>new_billing_query_ungrouped!R24=original_billing_query!R24</f>
        <v>1</v>
      </c>
    </row>
    <row r="25" spans="1:18" ht="15.75" customHeight="1" x14ac:dyDescent="0.15">
      <c r="A25" s="1" t="b">
        <f>new_billing_query_ungrouped!A25=original_billing_query!A25</f>
        <v>1</v>
      </c>
      <c r="B25" s="1" t="b">
        <f>new_billing_query_ungrouped!B25=original_billing_query!B25</f>
        <v>1</v>
      </c>
      <c r="C25" s="1" t="b">
        <f>new_billing_query_ungrouped!C25=original_billing_query!C25</f>
        <v>1</v>
      </c>
      <c r="D25" s="1" t="b">
        <f>new_billing_query_ungrouped!D25=original_billing_query!D25</f>
        <v>1</v>
      </c>
      <c r="E25" s="1" t="b">
        <f>new_billing_query_ungrouped!E25=original_billing_query!E25</f>
        <v>1</v>
      </c>
      <c r="F25" s="1" t="b">
        <f>new_billing_query_ungrouped!F25=original_billing_query!F25</f>
        <v>1</v>
      </c>
      <c r="G25" s="1" t="b">
        <f>new_billing_query_ungrouped!G25=original_billing_query!G25</f>
        <v>1</v>
      </c>
      <c r="H25" s="1" t="b">
        <f>new_billing_query_ungrouped!H25=original_billing_query!H25</f>
        <v>1</v>
      </c>
      <c r="I25" s="1" t="b">
        <f>new_billing_query_ungrouped!I25=original_billing_query!I25</f>
        <v>1</v>
      </c>
      <c r="J25" s="1" t="b">
        <f>new_billing_query_ungrouped!J25=original_billing_query!J25</f>
        <v>1</v>
      </c>
      <c r="K25" s="1" t="b">
        <f>new_billing_query_ungrouped!K25=original_billing_query!K25</f>
        <v>1</v>
      </c>
      <c r="L25" s="1" t="b">
        <f>new_billing_query_ungrouped!L25=original_billing_query!L25</f>
        <v>1</v>
      </c>
      <c r="M25" s="1" t="b">
        <f>new_billing_query_ungrouped!M25=original_billing_query!M25</f>
        <v>1</v>
      </c>
      <c r="N25" s="1" t="b">
        <f>new_billing_query_ungrouped!N25=original_billing_query!N25</f>
        <v>1</v>
      </c>
      <c r="O25" s="1" t="b">
        <f>new_billing_query_ungrouped!O25=original_billing_query!O25</f>
        <v>1</v>
      </c>
      <c r="P25" s="1" t="b">
        <f>new_billing_query_ungrouped!P25=original_billing_query!P25</f>
        <v>1</v>
      </c>
      <c r="Q25" s="1" t="b">
        <f>new_billing_query_ungrouped!Q25=original_billing_query!Q25</f>
        <v>1</v>
      </c>
      <c r="R25" s="1" t="b">
        <f>new_billing_query_ungrouped!R25=original_billing_query!R25</f>
        <v>1</v>
      </c>
    </row>
    <row r="26" spans="1:18" ht="15.75" customHeight="1" x14ac:dyDescent="0.15">
      <c r="A26" s="1" t="b">
        <f>new_billing_query_ungrouped!A26=original_billing_query!A26</f>
        <v>1</v>
      </c>
      <c r="B26" s="1" t="b">
        <f>new_billing_query_ungrouped!B26=original_billing_query!B26</f>
        <v>1</v>
      </c>
      <c r="C26" s="1" t="b">
        <f>new_billing_query_ungrouped!C26=original_billing_query!C26</f>
        <v>1</v>
      </c>
      <c r="D26" s="1" t="b">
        <f>new_billing_query_ungrouped!D26=original_billing_query!D26</f>
        <v>1</v>
      </c>
      <c r="E26" s="1" t="b">
        <f>new_billing_query_ungrouped!E26=original_billing_query!E26</f>
        <v>1</v>
      </c>
      <c r="F26" s="1" t="b">
        <f>new_billing_query_ungrouped!F26=original_billing_query!F26</f>
        <v>1</v>
      </c>
      <c r="G26" s="1" t="b">
        <f>new_billing_query_ungrouped!G26=original_billing_query!G26</f>
        <v>1</v>
      </c>
      <c r="H26" s="1" t="b">
        <f>new_billing_query_ungrouped!H26=original_billing_query!H26</f>
        <v>1</v>
      </c>
      <c r="I26" s="1" t="b">
        <f>new_billing_query_ungrouped!I26=original_billing_query!I26</f>
        <v>1</v>
      </c>
      <c r="J26" s="1" t="b">
        <f>new_billing_query_ungrouped!J26=original_billing_query!J26</f>
        <v>1</v>
      </c>
      <c r="K26" s="1" t="b">
        <f>new_billing_query_ungrouped!K26=original_billing_query!K26</f>
        <v>1</v>
      </c>
      <c r="L26" s="1" t="b">
        <f>new_billing_query_ungrouped!L26=original_billing_query!L26</f>
        <v>1</v>
      </c>
      <c r="M26" s="1" t="b">
        <f>new_billing_query_ungrouped!M26=original_billing_query!M26</f>
        <v>1</v>
      </c>
      <c r="N26" s="1" t="b">
        <f>new_billing_query_ungrouped!N26=original_billing_query!N26</f>
        <v>1</v>
      </c>
      <c r="O26" s="1" t="b">
        <f>new_billing_query_ungrouped!O26=original_billing_query!O26</f>
        <v>1</v>
      </c>
      <c r="P26" s="1" t="b">
        <f>new_billing_query_ungrouped!P26=original_billing_query!P26</f>
        <v>1</v>
      </c>
      <c r="Q26" s="1" t="b">
        <f>new_billing_query_ungrouped!Q26=original_billing_query!Q26</f>
        <v>1</v>
      </c>
      <c r="R26" s="1" t="b">
        <f>new_billing_query_ungrouped!R26=original_billing_query!R26</f>
        <v>1</v>
      </c>
    </row>
    <row r="27" spans="1:18" ht="15.75" customHeight="1" x14ac:dyDescent="0.15">
      <c r="A27" s="1" t="b">
        <f>new_billing_query_ungrouped!A27=original_billing_query!A27</f>
        <v>1</v>
      </c>
      <c r="B27" s="1" t="b">
        <f>new_billing_query_ungrouped!B27=original_billing_query!B27</f>
        <v>1</v>
      </c>
      <c r="C27" s="1" t="b">
        <f>new_billing_query_ungrouped!C27=original_billing_query!C27</f>
        <v>1</v>
      </c>
      <c r="D27" s="1" t="b">
        <f>new_billing_query_ungrouped!D27=original_billing_query!D27</f>
        <v>1</v>
      </c>
      <c r="E27" s="1" t="b">
        <f>new_billing_query_ungrouped!E27=original_billing_query!E27</f>
        <v>1</v>
      </c>
      <c r="F27" s="1" t="b">
        <f>new_billing_query_ungrouped!F27=original_billing_query!F27</f>
        <v>1</v>
      </c>
      <c r="G27" s="1" t="b">
        <f>new_billing_query_ungrouped!G27=original_billing_query!G27</f>
        <v>1</v>
      </c>
      <c r="H27" s="1" t="b">
        <f>new_billing_query_ungrouped!H27=original_billing_query!H27</f>
        <v>1</v>
      </c>
      <c r="I27" s="1" t="b">
        <f>new_billing_query_ungrouped!I27=original_billing_query!I27</f>
        <v>1</v>
      </c>
      <c r="J27" s="1" t="b">
        <f>new_billing_query_ungrouped!J27=original_billing_query!J27</f>
        <v>1</v>
      </c>
      <c r="K27" s="1" t="b">
        <f>new_billing_query_ungrouped!K27=original_billing_query!K27</f>
        <v>1</v>
      </c>
      <c r="L27" s="1" t="b">
        <f>new_billing_query_ungrouped!L27=original_billing_query!L27</f>
        <v>1</v>
      </c>
      <c r="M27" s="1" t="b">
        <f>new_billing_query_ungrouped!M27=original_billing_query!M27</f>
        <v>1</v>
      </c>
      <c r="N27" s="1" t="b">
        <f>new_billing_query_ungrouped!N27=original_billing_query!N27</f>
        <v>1</v>
      </c>
      <c r="O27" s="1" t="b">
        <f>new_billing_query_ungrouped!O27=original_billing_query!O27</f>
        <v>1</v>
      </c>
      <c r="P27" s="1" t="b">
        <f>new_billing_query_ungrouped!P27=original_billing_query!P27</f>
        <v>1</v>
      </c>
      <c r="Q27" s="1" t="b">
        <f>new_billing_query_ungrouped!Q27=original_billing_query!Q27</f>
        <v>1</v>
      </c>
      <c r="R27" s="1" t="b">
        <f>new_billing_query_ungrouped!R27=original_billing_query!R27</f>
        <v>1</v>
      </c>
    </row>
    <row r="28" spans="1:18" ht="15.75" customHeight="1" x14ac:dyDescent="0.15">
      <c r="A28" s="1" t="b">
        <f>new_billing_query_ungrouped!A28=original_billing_query!A28</f>
        <v>1</v>
      </c>
      <c r="B28" s="1" t="b">
        <f>new_billing_query_ungrouped!B28=original_billing_query!B28</f>
        <v>1</v>
      </c>
      <c r="C28" s="1" t="b">
        <f>new_billing_query_ungrouped!C28=original_billing_query!C28</f>
        <v>1</v>
      </c>
      <c r="D28" s="1" t="b">
        <f>new_billing_query_ungrouped!D28=original_billing_query!D28</f>
        <v>1</v>
      </c>
      <c r="E28" s="1" t="b">
        <f>new_billing_query_ungrouped!E28=original_billing_query!E28</f>
        <v>1</v>
      </c>
      <c r="F28" s="1" t="b">
        <f>new_billing_query_ungrouped!F28=original_billing_query!F28</f>
        <v>1</v>
      </c>
      <c r="G28" s="1" t="b">
        <f>new_billing_query_ungrouped!G28=original_billing_query!G28</f>
        <v>1</v>
      </c>
      <c r="H28" s="1" t="b">
        <f>new_billing_query_ungrouped!H28=original_billing_query!H28</f>
        <v>1</v>
      </c>
      <c r="I28" s="1" t="b">
        <f>new_billing_query_ungrouped!I28=original_billing_query!I28</f>
        <v>1</v>
      </c>
      <c r="J28" s="1" t="b">
        <f>new_billing_query_ungrouped!J28=original_billing_query!J28</f>
        <v>1</v>
      </c>
      <c r="K28" s="1" t="b">
        <f>new_billing_query_ungrouped!K28=original_billing_query!K28</f>
        <v>1</v>
      </c>
      <c r="L28" s="1" t="b">
        <f>new_billing_query_ungrouped!L28=original_billing_query!L28</f>
        <v>1</v>
      </c>
      <c r="M28" s="1" t="b">
        <f>new_billing_query_ungrouped!M28=original_billing_query!M28</f>
        <v>1</v>
      </c>
      <c r="N28" s="1" t="b">
        <f>new_billing_query_ungrouped!N28=original_billing_query!N28</f>
        <v>1</v>
      </c>
      <c r="O28" s="1" t="b">
        <f>new_billing_query_ungrouped!O28=original_billing_query!O28</f>
        <v>1</v>
      </c>
      <c r="P28" s="1" t="b">
        <f>new_billing_query_ungrouped!P28=original_billing_query!P28</f>
        <v>1</v>
      </c>
      <c r="Q28" s="1" t="b">
        <f>new_billing_query_ungrouped!Q28=original_billing_query!Q28</f>
        <v>1</v>
      </c>
      <c r="R28" s="1" t="b">
        <f>new_billing_query_ungrouped!R28=original_billing_query!R28</f>
        <v>1</v>
      </c>
    </row>
    <row r="29" spans="1:18" ht="15.75" customHeight="1" x14ac:dyDescent="0.15">
      <c r="A29" s="1" t="b">
        <f>new_billing_query_ungrouped!A29=original_billing_query!A29</f>
        <v>1</v>
      </c>
      <c r="B29" s="1" t="b">
        <f>new_billing_query_ungrouped!B29=original_billing_query!B29</f>
        <v>1</v>
      </c>
      <c r="C29" s="1" t="b">
        <f>new_billing_query_ungrouped!C29=original_billing_query!C29</f>
        <v>1</v>
      </c>
      <c r="D29" s="1" t="b">
        <f>new_billing_query_ungrouped!D29=original_billing_query!D29</f>
        <v>1</v>
      </c>
      <c r="E29" s="1" t="b">
        <f>new_billing_query_ungrouped!E29=original_billing_query!E29</f>
        <v>1</v>
      </c>
      <c r="F29" s="1" t="b">
        <f>new_billing_query_ungrouped!F29=original_billing_query!F29</f>
        <v>1</v>
      </c>
      <c r="G29" s="1" t="b">
        <f>new_billing_query_ungrouped!G29=original_billing_query!G29</f>
        <v>1</v>
      </c>
      <c r="H29" s="1" t="b">
        <f>new_billing_query_ungrouped!H29=original_billing_query!H29</f>
        <v>1</v>
      </c>
      <c r="I29" s="1" t="b">
        <f>new_billing_query_ungrouped!I29=original_billing_query!I29</f>
        <v>1</v>
      </c>
      <c r="J29" s="1" t="b">
        <f>new_billing_query_ungrouped!J29=original_billing_query!J29</f>
        <v>1</v>
      </c>
      <c r="K29" s="1" t="b">
        <f>new_billing_query_ungrouped!K29=original_billing_query!K29</f>
        <v>1</v>
      </c>
      <c r="L29" s="1" t="b">
        <f>new_billing_query_ungrouped!L29=original_billing_query!L29</f>
        <v>1</v>
      </c>
      <c r="M29" s="1" t="b">
        <f>new_billing_query_ungrouped!M29=original_billing_query!M29</f>
        <v>1</v>
      </c>
      <c r="N29" s="1" t="b">
        <f>new_billing_query_ungrouped!N29=original_billing_query!N29</f>
        <v>1</v>
      </c>
      <c r="O29" s="1" t="b">
        <f>new_billing_query_ungrouped!O29=original_billing_query!O29</f>
        <v>1</v>
      </c>
      <c r="P29" s="1" t="b">
        <f>new_billing_query_ungrouped!P29=original_billing_query!P29</f>
        <v>1</v>
      </c>
      <c r="Q29" s="1" t="b">
        <f>new_billing_query_ungrouped!Q29=original_billing_query!Q29</f>
        <v>1</v>
      </c>
      <c r="R29" s="1" t="b">
        <f>new_billing_query_ungrouped!R29=original_billing_query!R29</f>
        <v>1</v>
      </c>
    </row>
    <row r="30" spans="1:18" ht="15.75" customHeight="1" x14ac:dyDescent="0.15">
      <c r="A30" s="1" t="b">
        <f>new_billing_query_ungrouped!A30=original_billing_query!A30</f>
        <v>1</v>
      </c>
      <c r="B30" s="1" t="b">
        <f>new_billing_query_ungrouped!B30=original_billing_query!B30</f>
        <v>1</v>
      </c>
      <c r="C30" s="1" t="b">
        <f>new_billing_query_ungrouped!C30=original_billing_query!C30</f>
        <v>1</v>
      </c>
      <c r="D30" s="1" t="b">
        <f>new_billing_query_ungrouped!D30=original_billing_query!D30</f>
        <v>1</v>
      </c>
      <c r="E30" s="1" t="b">
        <f>new_billing_query_ungrouped!E30=original_billing_query!E30</f>
        <v>1</v>
      </c>
      <c r="F30" s="1" t="b">
        <f>new_billing_query_ungrouped!F30=original_billing_query!F30</f>
        <v>1</v>
      </c>
      <c r="G30" s="1" t="b">
        <f>new_billing_query_ungrouped!G30=original_billing_query!G30</f>
        <v>1</v>
      </c>
      <c r="H30" s="1" t="b">
        <f>new_billing_query_ungrouped!H30=original_billing_query!H30</f>
        <v>1</v>
      </c>
      <c r="I30" s="1" t="b">
        <f>new_billing_query_ungrouped!I30=original_billing_query!I30</f>
        <v>1</v>
      </c>
      <c r="J30" s="1" t="b">
        <f>new_billing_query_ungrouped!J30=original_billing_query!J30</f>
        <v>1</v>
      </c>
      <c r="K30" s="1" t="b">
        <f>new_billing_query_ungrouped!K30=original_billing_query!K30</f>
        <v>1</v>
      </c>
      <c r="L30" s="1" t="b">
        <f>new_billing_query_ungrouped!L30=original_billing_query!L30</f>
        <v>1</v>
      </c>
      <c r="M30" s="1" t="b">
        <f>new_billing_query_ungrouped!M30=original_billing_query!M30</f>
        <v>1</v>
      </c>
      <c r="N30" s="1" t="b">
        <f>new_billing_query_ungrouped!N30=original_billing_query!N30</f>
        <v>1</v>
      </c>
      <c r="O30" s="1" t="b">
        <f>new_billing_query_ungrouped!O30=original_billing_query!O30</f>
        <v>1</v>
      </c>
      <c r="P30" s="1" t="b">
        <f>new_billing_query_ungrouped!P30=original_billing_query!P30</f>
        <v>1</v>
      </c>
      <c r="Q30" s="1" t="b">
        <f>new_billing_query_ungrouped!Q30=original_billing_query!Q30</f>
        <v>1</v>
      </c>
      <c r="R30" s="1" t="b">
        <f>new_billing_query_ungrouped!R30=original_billing_query!R30</f>
        <v>1</v>
      </c>
    </row>
    <row r="31" spans="1:18" ht="15.75" customHeight="1" x14ac:dyDescent="0.15">
      <c r="A31" s="1" t="b">
        <f>new_billing_query_ungrouped!A31=original_billing_query!A31</f>
        <v>1</v>
      </c>
      <c r="B31" s="1" t="b">
        <f>new_billing_query_ungrouped!B31=original_billing_query!B31</f>
        <v>1</v>
      </c>
      <c r="C31" s="1" t="b">
        <f>new_billing_query_ungrouped!C31=original_billing_query!C31</f>
        <v>1</v>
      </c>
      <c r="D31" s="1" t="b">
        <f>new_billing_query_ungrouped!D31=original_billing_query!D31</f>
        <v>1</v>
      </c>
      <c r="E31" s="1" t="b">
        <f>new_billing_query_ungrouped!E31=original_billing_query!E31</f>
        <v>1</v>
      </c>
      <c r="F31" s="1" t="b">
        <f>new_billing_query_ungrouped!F31=original_billing_query!F31</f>
        <v>1</v>
      </c>
      <c r="G31" s="1" t="b">
        <f>new_billing_query_ungrouped!G31=original_billing_query!G31</f>
        <v>1</v>
      </c>
      <c r="H31" s="1" t="b">
        <f>new_billing_query_ungrouped!H31=original_billing_query!H31</f>
        <v>1</v>
      </c>
      <c r="I31" s="1" t="b">
        <f>new_billing_query_ungrouped!I31=original_billing_query!I31</f>
        <v>1</v>
      </c>
      <c r="J31" s="1" t="b">
        <f>new_billing_query_ungrouped!J31=original_billing_query!J31</f>
        <v>1</v>
      </c>
      <c r="K31" s="1" t="b">
        <f>new_billing_query_ungrouped!K31=original_billing_query!K31</f>
        <v>1</v>
      </c>
      <c r="L31" s="1" t="b">
        <f>new_billing_query_ungrouped!L31=original_billing_query!L31</f>
        <v>1</v>
      </c>
      <c r="M31" s="1" t="b">
        <f>new_billing_query_ungrouped!M31=original_billing_query!M31</f>
        <v>1</v>
      </c>
      <c r="N31" s="1" t="b">
        <f>new_billing_query_ungrouped!N31=original_billing_query!N31</f>
        <v>1</v>
      </c>
      <c r="O31" s="1" t="b">
        <f>new_billing_query_ungrouped!O31=original_billing_query!O31</f>
        <v>1</v>
      </c>
      <c r="P31" s="1" t="b">
        <f>new_billing_query_ungrouped!P31=original_billing_query!P31</f>
        <v>1</v>
      </c>
      <c r="Q31" s="1" t="b">
        <f>new_billing_query_ungrouped!Q31=original_billing_query!Q31</f>
        <v>1</v>
      </c>
      <c r="R31" s="1" t="b">
        <f>new_billing_query_ungrouped!R31=original_billing_query!R31</f>
        <v>1</v>
      </c>
    </row>
    <row r="32" spans="1:18" ht="15.75" customHeight="1" x14ac:dyDescent="0.15">
      <c r="A32" s="1" t="b">
        <f>new_billing_query_ungrouped!A32=original_billing_query!A32</f>
        <v>1</v>
      </c>
      <c r="B32" s="1" t="b">
        <f>new_billing_query_ungrouped!B32=original_billing_query!B32</f>
        <v>1</v>
      </c>
      <c r="C32" s="1" t="b">
        <f>new_billing_query_ungrouped!C32=original_billing_query!C32</f>
        <v>1</v>
      </c>
      <c r="D32" s="1" t="b">
        <f>new_billing_query_ungrouped!D32=original_billing_query!D32</f>
        <v>1</v>
      </c>
      <c r="E32" s="1" t="b">
        <f>new_billing_query_ungrouped!E32=original_billing_query!E32</f>
        <v>1</v>
      </c>
      <c r="F32" s="1" t="b">
        <f>new_billing_query_ungrouped!F32=original_billing_query!F32</f>
        <v>1</v>
      </c>
      <c r="G32" s="1" t="b">
        <f>new_billing_query_ungrouped!G32=original_billing_query!G32</f>
        <v>1</v>
      </c>
      <c r="H32" s="1" t="b">
        <f>new_billing_query_ungrouped!H32=original_billing_query!H32</f>
        <v>1</v>
      </c>
      <c r="I32" s="1" t="b">
        <f>new_billing_query_ungrouped!I32=original_billing_query!I32</f>
        <v>1</v>
      </c>
      <c r="J32" s="1" t="b">
        <f>new_billing_query_ungrouped!J32=original_billing_query!J32</f>
        <v>1</v>
      </c>
      <c r="K32" s="1" t="b">
        <f>new_billing_query_ungrouped!K32=original_billing_query!K32</f>
        <v>1</v>
      </c>
      <c r="L32" s="1" t="b">
        <f>new_billing_query_ungrouped!L32=original_billing_query!L32</f>
        <v>1</v>
      </c>
      <c r="M32" s="1" t="b">
        <f>new_billing_query_ungrouped!M32=original_billing_query!M32</f>
        <v>1</v>
      </c>
      <c r="N32" s="1" t="b">
        <f>new_billing_query_ungrouped!N32=original_billing_query!N32</f>
        <v>1</v>
      </c>
      <c r="O32" s="1" t="b">
        <f>new_billing_query_ungrouped!O32=original_billing_query!O32</f>
        <v>1</v>
      </c>
      <c r="P32" s="1" t="b">
        <f>new_billing_query_ungrouped!P32=original_billing_query!P32</f>
        <v>1</v>
      </c>
      <c r="Q32" s="1" t="b">
        <f>new_billing_query_ungrouped!Q32=original_billing_query!Q32</f>
        <v>1</v>
      </c>
      <c r="R32" s="1" t="b">
        <f>new_billing_query_ungrouped!R32=original_billing_query!R32</f>
        <v>1</v>
      </c>
    </row>
    <row r="33" spans="1:18" ht="15.75" customHeight="1" x14ac:dyDescent="0.15">
      <c r="A33" s="1" t="b">
        <f>new_billing_query_ungrouped!A33=original_billing_query!A33</f>
        <v>1</v>
      </c>
      <c r="B33" s="1" t="b">
        <f>new_billing_query_ungrouped!B33=original_billing_query!B33</f>
        <v>1</v>
      </c>
      <c r="C33" s="1" t="b">
        <f>new_billing_query_ungrouped!C33=original_billing_query!C33</f>
        <v>1</v>
      </c>
      <c r="D33" s="1" t="b">
        <f>new_billing_query_ungrouped!D33=original_billing_query!D33</f>
        <v>1</v>
      </c>
      <c r="E33" s="1" t="b">
        <f>new_billing_query_ungrouped!E33=original_billing_query!E33</f>
        <v>1</v>
      </c>
      <c r="F33" s="1" t="b">
        <f>new_billing_query_ungrouped!F33=original_billing_query!F33</f>
        <v>1</v>
      </c>
      <c r="G33" s="1" t="b">
        <f>new_billing_query_ungrouped!G33=original_billing_query!G33</f>
        <v>1</v>
      </c>
      <c r="H33" s="1" t="b">
        <f>new_billing_query_ungrouped!H33=original_billing_query!H33</f>
        <v>1</v>
      </c>
      <c r="I33" s="1" t="b">
        <f>new_billing_query_ungrouped!I33=original_billing_query!I33</f>
        <v>1</v>
      </c>
      <c r="J33" s="1" t="b">
        <f>new_billing_query_ungrouped!J33=original_billing_query!J33</f>
        <v>1</v>
      </c>
      <c r="K33" s="1" t="b">
        <f>new_billing_query_ungrouped!K33=original_billing_query!K33</f>
        <v>1</v>
      </c>
      <c r="L33" s="1" t="b">
        <f>new_billing_query_ungrouped!L33=original_billing_query!L33</f>
        <v>1</v>
      </c>
      <c r="M33" s="1" t="b">
        <f>new_billing_query_ungrouped!M33=original_billing_query!M33</f>
        <v>1</v>
      </c>
      <c r="N33" s="1" t="b">
        <f>new_billing_query_ungrouped!N33=original_billing_query!N33</f>
        <v>1</v>
      </c>
      <c r="O33" s="1" t="b">
        <f>new_billing_query_ungrouped!O33=original_billing_query!O33</f>
        <v>1</v>
      </c>
      <c r="P33" s="1" t="b">
        <f>new_billing_query_ungrouped!P33=original_billing_query!P33</f>
        <v>1</v>
      </c>
      <c r="Q33" s="1" t="b">
        <f>new_billing_query_ungrouped!Q33=original_billing_query!Q33</f>
        <v>1</v>
      </c>
      <c r="R33" s="1" t="b">
        <f>new_billing_query_ungrouped!R33=original_billing_query!R33</f>
        <v>1</v>
      </c>
    </row>
    <row r="34" spans="1:18" ht="15.75" customHeight="1" x14ac:dyDescent="0.15">
      <c r="A34" s="1" t="b">
        <f>new_billing_query_ungrouped!A34=original_billing_query!A34</f>
        <v>1</v>
      </c>
      <c r="B34" s="1" t="b">
        <f>new_billing_query_ungrouped!B34=original_billing_query!B34</f>
        <v>1</v>
      </c>
      <c r="C34" s="1" t="b">
        <f>new_billing_query_ungrouped!C34=original_billing_query!C34</f>
        <v>1</v>
      </c>
      <c r="D34" s="1" t="b">
        <f>new_billing_query_ungrouped!D34=original_billing_query!D34</f>
        <v>1</v>
      </c>
      <c r="E34" s="1" t="b">
        <f>new_billing_query_ungrouped!E34=original_billing_query!E34</f>
        <v>1</v>
      </c>
      <c r="F34" s="1" t="b">
        <f>new_billing_query_ungrouped!F34=original_billing_query!F34</f>
        <v>1</v>
      </c>
      <c r="G34" s="1" t="b">
        <f>new_billing_query_ungrouped!G34=original_billing_query!G34</f>
        <v>1</v>
      </c>
      <c r="H34" s="1" t="b">
        <f>new_billing_query_ungrouped!H34=original_billing_query!H34</f>
        <v>1</v>
      </c>
      <c r="I34" s="1" t="b">
        <f>new_billing_query_ungrouped!I34=original_billing_query!I34</f>
        <v>1</v>
      </c>
      <c r="J34" s="1" t="b">
        <f>new_billing_query_ungrouped!J34=original_billing_query!J34</f>
        <v>1</v>
      </c>
      <c r="K34" s="1" t="b">
        <f>new_billing_query_ungrouped!K34=original_billing_query!K34</f>
        <v>1</v>
      </c>
      <c r="L34" s="1" t="b">
        <f>new_billing_query_ungrouped!L34=original_billing_query!L34</f>
        <v>1</v>
      </c>
      <c r="M34" s="1" t="b">
        <f>new_billing_query_ungrouped!M34=original_billing_query!M34</f>
        <v>1</v>
      </c>
      <c r="N34" s="1" t="b">
        <f>new_billing_query_ungrouped!N34=original_billing_query!N34</f>
        <v>1</v>
      </c>
      <c r="O34" s="1" t="b">
        <f>new_billing_query_ungrouped!O34=original_billing_query!O34</f>
        <v>1</v>
      </c>
      <c r="P34" s="1" t="b">
        <f>new_billing_query_ungrouped!P34=original_billing_query!P34</f>
        <v>1</v>
      </c>
      <c r="Q34" s="1" t="b">
        <f>new_billing_query_ungrouped!Q34=original_billing_query!Q34</f>
        <v>1</v>
      </c>
      <c r="R34" s="1" t="b">
        <f>new_billing_query_ungrouped!R34=original_billing_query!R34</f>
        <v>1</v>
      </c>
    </row>
    <row r="35" spans="1:18" ht="15.75" customHeight="1" x14ac:dyDescent="0.15">
      <c r="A35" s="1" t="b">
        <f>new_billing_query_ungrouped!A35=original_billing_query!A35</f>
        <v>1</v>
      </c>
      <c r="B35" s="1" t="b">
        <f>new_billing_query_ungrouped!B35=original_billing_query!B35</f>
        <v>1</v>
      </c>
      <c r="C35" s="1" t="b">
        <f>new_billing_query_ungrouped!C35=original_billing_query!C35</f>
        <v>1</v>
      </c>
      <c r="D35" s="1" t="b">
        <f>new_billing_query_ungrouped!D35=original_billing_query!D35</f>
        <v>1</v>
      </c>
      <c r="E35" s="1" t="b">
        <f>new_billing_query_ungrouped!E35=original_billing_query!E35</f>
        <v>1</v>
      </c>
      <c r="F35" s="1" t="b">
        <f>new_billing_query_ungrouped!F35=original_billing_query!F35</f>
        <v>1</v>
      </c>
      <c r="G35" s="1" t="b">
        <f>new_billing_query_ungrouped!G35=original_billing_query!G35</f>
        <v>1</v>
      </c>
      <c r="H35" s="1" t="b">
        <f>new_billing_query_ungrouped!H35=original_billing_query!H35</f>
        <v>1</v>
      </c>
      <c r="I35" s="1" t="b">
        <f>new_billing_query_ungrouped!I35=original_billing_query!I35</f>
        <v>1</v>
      </c>
      <c r="J35" s="1" t="b">
        <f>new_billing_query_ungrouped!J35=original_billing_query!J35</f>
        <v>1</v>
      </c>
      <c r="K35" s="1" t="b">
        <f>new_billing_query_ungrouped!K35=original_billing_query!K35</f>
        <v>1</v>
      </c>
      <c r="L35" s="1" t="b">
        <f>new_billing_query_ungrouped!L35=original_billing_query!L35</f>
        <v>1</v>
      </c>
      <c r="M35" s="1" t="b">
        <f>new_billing_query_ungrouped!M35=original_billing_query!M35</f>
        <v>1</v>
      </c>
      <c r="N35" s="1" t="b">
        <f>new_billing_query_ungrouped!N35=original_billing_query!N35</f>
        <v>1</v>
      </c>
      <c r="O35" s="1" t="b">
        <f>new_billing_query_ungrouped!O35=original_billing_query!O35</f>
        <v>1</v>
      </c>
      <c r="P35" s="1" t="b">
        <f>new_billing_query_ungrouped!P35=original_billing_query!P35</f>
        <v>1</v>
      </c>
      <c r="Q35" s="1" t="b">
        <f>new_billing_query_ungrouped!Q35=original_billing_query!Q35</f>
        <v>1</v>
      </c>
      <c r="R35" s="1" t="b">
        <f>new_billing_query_ungrouped!R35=original_billing_query!R35</f>
        <v>1</v>
      </c>
    </row>
    <row r="36" spans="1:18" ht="15.75" customHeight="1" x14ac:dyDescent="0.15">
      <c r="A36" s="1" t="b">
        <f>new_billing_query_ungrouped!A36=original_billing_query!A36</f>
        <v>1</v>
      </c>
      <c r="B36" s="1" t="b">
        <f>new_billing_query_ungrouped!B36=original_billing_query!B36</f>
        <v>1</v>
      </c>
      <c r="C36" s="1" t="b">
        <f>new_billing_query_ungrouped!C36=original_billing_query!C36</f>
        <v>1</v>
      </c>
      <c r="D36" s="1" t="b">
        <f>new_billing_query_ungrouped!D36=original_billing_query!D36</f>
        <v>1</v>
      </c>
      <c r="E36" s="1" t="b">
        <f>new_billing_query_ungrouped!E36=original_billing_query!E36</f>
        <v>1</v>
      </c>
      <c r="F36" s="1" t="b">
        <f>new_billing_query_ungrouped!F36=original_billing_query!F36</f>
        <v>1</v>
      </c>
      <c r="G36" s="1" t="b">
        <f>new_billing_query_ungrouped!G36=original_billing_query!G36</f>
        <v>1</v>
      </c>
      <c r="H36" s="1" t="b">
        <f>new_billing_query_ungrouped!H36=original_billing_query!H36</f>
        <v>1</v>
      </c>
      <c r="I36" s="1" t="b">
        <f>new_billing_query_ungrouped!I36=original_billing_query!I36</f>
        <v>1</v>
      </c>
      <c r="J36" s="1" t="b">
        <f>new_billing_query_ungrouped!J36=original_billing_query!J36</f>
        <v>1</v>
      </c>
      <c r="K36" s="1" t="b">
        <f>new_billing_query_ungrouped!K36=original_billing_query!K36</f>
        <v>1</v>
      </c>
      <c r="L36" s="1" t="b">
        <f>new_billing_query_ungrouped!L36=original_billing_query!L36</f>
        <v>1</v>
      </c>
      <c r="M36" s="1" t="b">
        <f>new_billing_query_ungrouped!M36=original_billing_query!M36</f>
        <v>1</v>
      </c>
      <c r="N36" s="1" t="b">
        <f>new_billing_query_ungrouped!N36=original_billing_query!N36</f>
        <v>1</v>
      </c>
      <c r="O36" s="1" t="b">
        <f>new_billing_query_ungrouped!O36=original_billing_query!O36</f>
        <v>1</v>
      </c>
      <c r="P36" s="1" t="b">
        <f>new_billing_query_ungrouped!P36=original_billing_query!P36</f>
        <v>1</v>
      </c>
      <c r="Q36" s="1" t="b">
        <f>new_billing_query_ungrouped!Q36=original_billing_query!Q36</f>
        <v>1</v>
      </c>
      <c r="R36" s="1" t="b">
        <f>new_billing_query_ungrouped!R36=original_billing_query!R36</f>
        <v>1</v>
      </c>
    </row>
    <row r="37" spans="1:18" ht="15.75" customHeight="1" x14ac:dyDescent="0.15">
      <c r="A37" s="1" t="b">
        <f>new_billing_query_ungrouped!A37=original_billing_query!A37</f>
        <v>1</v>
      </c>
      <c r="B37" s="1" t="b">
        <f>new_billing_query_ungrouped!B37=original_billing_query!B37</f>
        <v>1</v>
      </c>
      <c r="C37" s="1" t="b">
        <f>new_billing_query_ungrouped!C37=original_billing_query!C37</f>
        <v>1</v>
      </c>
      <c r="D37" s="1" t="b">
        <f>new_billing_query_ungrouped!D37=original_billing_query!D37</f>
        <v>1</v>
      </c>
      <c r="E37" s="1" t="b">
        <f>new_billing_query_ungrouped!E37=original_billing_query!E37</f>
        <v>1</v>
      </c>
      <c r="F37" s="1" t="b">
        <f>new_billing_query_ungrouped!F37=original_billing_query!F37</f>
        <v>1</v>
      </c>
      <c r="G37" s="1" t="b">
        <f>new_billing_query_ungrouped!G37=original_billing_query!G37</f>
        <v>1</v>
      </c>
      <c r="H37" s="1" t="b">
        <f>new_billing_query_ungrouped!H37=original_billing_query!H37</f>
        <v>1</v>
      </c>
      <c r="I37" s="1" t="b">
        <f>new_billing_query_ungrouped!I37=original_billing_query!I37</f>
        <v>1</v>
      </c>
      <c r="J37" s="1" t="b">
        <f>new_billing_query_ungrouped!J37=original_billing_query!J37</f>
        <v>1</v>
      </c>
      <c r="K37" s="1" t="b">
        <f>new_billing_query_ungrouped!K37=original_billing_query!K37</f>
        <v>1</v>
      </c>
      <c r="L37" s="1" t="b">
        <f>new_billing_query_ungrouped!L37=original_billing_query!L37</f>
        <v>1</v>
      </c>
      <c r="M37" s="1" t="b">
        <f>new_billing_query_ungrouped!M37=original_billing_query!M37</f>
        <v>1</v>
      </c>
      <c r="N37" s="1" t="b">
        <f>new_billing_query_ungrouped!N37=original_billing_query!N37</f>
        <v>1</v>
      </c>
      <c r="O37" s="1" t="b">
        <f>new_billing_query_ungrouped!O37=original_billing_query!O37</f>
        <v>1</v>
      </c>
      <c r="P37" s="1" t="b">
        <f>new_billing_query_ungrouped!P37=original_billing_query!P37</f>
        <v>1</v>
      </c>
      <c r="Q37" s="1" t="b">
        <f>new_billing_query_ungrouped!Q37=original_billing_query!Q37</f>
        <v>1</v>
      </c>
      <c r="R37" s="1" t="b">
        <f>new_billing_query_ungrouped!R37=original_billing_query!R37</f>
        <v>1</v>
      </c>
    </row>
    <row r="38" spans="1:18" ht="15.75" customHeight="1" x14ac:dyDescent="0.15">
      <c r="A38" s="1" t="b">
        <f>new_billing_query_ungrouped!A38=original_billing_query!A38</f>
        <v>1</v>
      </c>
      <c r="B38" s="1" t="b">
        <f>new_billing_query_ungrouped!B38=original_billing_query!B38</f>
        <v>1</v>
      </c>
      <c r="C38" s="1" t="b">
        <f>new_billing_query_ungrouped!C38=original_billing_query!C38</f>
        <v>1</v>
      </c>
      <c r="D38" s="1" t="b">
        <f>new_billing_query_ungrouped!D38=original_billing_query!D38</f>
        <v>1</v>
      </c>
      <c r="E38" s="1" t="b">
        <f>new_billing_query_ungrouped!E38=original_billing_query!E38</f>
        <v>1</v>
      </c>
      <c r="F38" s="1" t="b">
        <f>new_billing_query_ungrouped!F38=original_billing_query!F38</f>
        <v>1</v>
      </c>
      <c r="G38" s="1" t="b">
        <f>new_billing_query_ungrouped!G38=original_billing_query!G38</f>
        <v>1</v>
      </c>
      <c r="H38" s="1" t="b">
        <f>new_billing_query_ungrouped!H38=original_billing_query!H38</f>
        <v>1</v>
      </c>
      <c r="I38" s="1" t="b">
        <f>new_billing_query_ungrouped!I38=original_billing_query!I38</f>
        <v>1</v>
      </c>
      <c r="J38" s="1" t="b">
        <f>new_billing_query_ungrouped!J38=original_billing_query!J38</f>
        <v>1</v>
      </c>
      <c r="K38" s="1" t="b">
        <f>new_billing_query_ungrouped!K38=original_billing_query!K38</f>
        <v>1</v>
      </c>
      <c r="L38" s="1" t="b">
        <f>new_billing_query_ungrouped!L38=original_billing_query!L38</f>
        <v>1</v>
      </c>
      <c r="M38" s="1" t="b">
        <f>new_billing_query_ungrouped!M38=original_billing_query!M38</f>
        <v>1</v>
      </c>
      <c r="N38" s="1" t="b">
        <f>new_billing_query_ungrouped!N38=original_billing_query!N38</f>
        <v>1</v>
      </c>
      <c r="O38" s="1" t="b">
        <f>new_billing_query_ungrouped!O38=original_billing_query!O38</f>
        <v>1</v>
      </c>
      <c r="P38" s="1" t="b">
        <f>new_billing_query_ungrouped!P38=original_billing_query!P38</f>
        <v>1</v>
      </c>
      <c r="Q38" s="1" t="b">
        <f>new_billing_query_ungrouped!Q38=original_billing_query!Q38</f>
        <v>1</v>
      </c>
      <c r="R38" s="1" t="b">
        <f>new_billing_query_ungrouped!R38=original_billing_query!R38</f>
        <v>1</v>
      </c>
    </row>
    <row r="39" spans="1:18" ht="15.75" customHeight="1" x14ac:dyDescent="0.15">
      <c r="A39" s="1" t="b">
        <f>new_billing_query_ungrouped!A39=original_billing_query!A39</f>
        <v>1</v>
      </c>
      <c r="B39" s="1" t="b">
        <f>new_billing_query_ungrouped!B39=original_billing_query!B39</f>
        <v>1</v>
      </c>
      <c r="C39" s="1" t="b">
        <f>new_billing_query_ungrouped!C39=original_billing_query!C39</f>
        <v>1</v>
      </c>
      <c r="D39" s="1" t="b">
        <f>new_billing_query_ungrouped!D39=original_billing_query!D39</f>
        <v>1</v>
      </c>
      <c r="E39" s="1" t="b">
        <f>new_billing_query_ungrouped!E39=original_billing_query!E39</f>
        <v>1</v>
      </c>
      <c r="F39" s="1" t="b">
        <f>new_billing_query_ungrouped!F39=original_billing_query!F39</f>
        <v>1</v>
      </c>
      <c r="G39" s="1" t="b">
        <f>new_billing_query_ungrouped!G39=original_billing_query!G39</f>
        <v>1</v>
      </c>
      <c r="H39" s="1" t="b">
        <f>new_billing_query_ungrouped!H39=original_billing_query!H39</f>
        <v>1</v>
      </c>
      <c r="I39" s="1" t="b">
        <f>new_billing_query_ungrouped!I39=original_billing_query!I39</f>
        <v>1</v>
      </c>
      <c r="J39" s="1" t="b">
        <f>new_billing_query_ungrouped!J39=original_billing_query!J39</f>
        <v>1</v>
      </c>
      <c r="K39" s="1" t="b">
        <f>new_billing_query_ungrouped!K39=original_billing_query!K39</f>
        <v>1</v>
      </c>
      <c r="L39" s="1" t="b">
        <f>new_billing_query_ungrouped!L39=original_billing_query!L39</f>
        <v>1</v>
      </c>
      <c r="M39" s="1" t="b">
        <f>new_billing_query_ungrouped!M39=original_billing_query!M39</f>
        <v>1</v>
      </c>
      <c r="N39" s="1" t="b">
        <f>new_billing_query_ungrouped!N39=original_billing_query!N39</f>
        <v>1</v>
      </c>
      <c r="O39" s="1" t="b">
        <f>new_billing_query_ungrouped!O39=original_billing_query!O39</f>
        <v>1</v>
      </c>
      <c r="P39" s="1" t="b">
        <f>new_billing_query_ungrouped!P39=original_billing_query!P39</f>
        <v>1</v>
      </c>
      <c r="Q39" s="1" t="b">
        <f>new_billing_query_ungrouped!Q39=original_billing_query!Q39</f>
        <v>1</v>
      </c>
      <c r="R39" s="1" t="b">
        <f>new_billing_query_ungrouped!R39=original_billing_query!R39</f>
        <v>1</v>
      </c>
    </row>
    <row r="40" spans="1:18" ht="15.75" customHeight="1" x14ac:dyDescent="0.15">
      <c r="A40" s="1" t="b">
        <f>new_billing_query_ungrouped!A40=original_billing_query!A40</f>
        <v>1</v>
      </c>
      <c r="B40" s="1" t="b">
        <f>new_billing_query_ungrouped!B40=original_billing_query!B40</f>
        <v>1</v>
      </c>
      <c r="C40" s="1" t="b">
        <f>new_billing_query_ungrouped!C40=original_billing_query!C40</f>
        <v>1</v>
      </c>
      <c r="D40" s="1" t="b">
        <f>new_billing_query_ungrouped!D40=original_billing_query!D40</f>
        <v>1</v>
      </c>
      <c r="E40" s="1" t="b">
        <f>new_billing_query_ungrouped!E40=original_billing_query!E40</f>
        <v>1</v>
      </c>
      <c r="F40" s="1" t="b">
        <f>new_billing_query_ungrouped!F40=original_billing_query!F40</f>
        <v>1</v>
      </c>
      <c r="G40" s="1" t="b">
        <f>new_billing_query_ungrouped!G40=original_billing_query!G40</f>
        <v>1</v>
      </c>
      <c r="H40" s="1" t="b">
        <f>new_billing_query_ungrouped!H40=original_billing_query!H40</f>
        <v>1</v>
      </c>
      <c r="I40" s="1" t="b">
        <f>new_billing_query_ungrouped!I40=original_billing_query!I40</f>
        <v>1</v>
      </c>
      <c r="J40" s="1" t="b">
        <f>new_billing_query_ungrouped!J40=original_billing_query!J40</f>
        <v>1</v>
      </c>
      <c r="K40" s="1" t="b">
        <f>new_billing_query_ungrouped!K40=original_billing_query!K40</f>
        <v>1</v>
      </c>
      <c r="L40" s="1" t="b">
        <f>new_billing_query_ungrouped!L40=original_billing_query!L40</f>
        <v>1</v>
      </c>
      <c r="M40" s="1" t="b">
        <f>new_billing_query_ungrouped!M40=original_billing_query!M40</f>
        <v>1</v>
      </c>
      <c r="N40" s="1" t="b">
        <f>new_billing_query_ungrouped!N40=original_billing_query!N40</f>
        <v>1</v>
      </c>
      <c r="O40" s="1" t="b">
        <f>new_billing_query_ungrouped!O40=original_billing_query!O40</f>
        <v>1</v>
      </c>
      <c r="P40" s="1" t="b">
        <f>new_billing_query_ungrouped!P40=original_billing_query!P40</f>
        <v>1</v>
      </c>
      <c r="Q40" s="1" t="b">
        <f>new_billing_query_ungrouped!Q40=original_billing_query!Q40</f>
        <v>1</v>
      </c>
      <c r="R40" s="1" t="b">
        <f>new_billing_query_ungrouped!R40=original_billing_query!R40</f>
        <v>1</v>
      </c>
    </row>
    <row r="41" spans="1:18" ht="15.75" customHeight="1" x14ac:dyDescent="0.15">
      <c r="A41" s="1" t="b">
        <f>new_billing_query_ungrouped!A41=original_billing_query!A41</f>
        <v>1</v>
      </c>
      <c r="B41" s="1" t="b">
        <f>new_billing_query_ungrouped!B41=original_billing_query!B41</f>
        <v>1</v>
      </c>
      <c r="C41" s="1" t="b">
        <f>new_billing_query_ungrouped!C41=original_billing_query!C41</f>
        <v>1</v>
      </c>
      <c r="D41" s="1" t="b">
        <f>new_billing_query_ungrouped!D41=original_billing_query!D41</f>
        <v>1</v>
      </c>
      <c r="E41" s="1" t="b">
        <f>new_billing_query_ungrouped!E41=original_billing_query!E41</f>
        <v>1</v>
      </c>
      <c r="F41" s="1" t="b">
        <f>new_billing_query_ungrouped!F41=original_billing_query!F41</f>
        <v>1</v>
      </c>
      <c r="G41" s="1" t="b">
        <f>new_billing_query_ungrouped!G41=original_billing_query!G41</f>
        <v>1</v>
      </c>
      <c r="H41" s="1" t="b">
        <f>new_billing_query_ungrouped!H41=original_billing_query!H41</f>
        <v>1</v>
      </c>
      <c r="I41" s="1" t="b">
        <f>new_billing_query_ungrouped!I41=original_billing_query!I41</f>
        <v>1</v>
      </c>
      <c r="J41" s="1" t="b">
        <f>new_billing_query_ungrouped!J41=original_billing_query!J41</f>
        <v>1</v>
      </c>
      <c r="K41" s="1" t="b">
        <f>new_billing_query_ungrouped!K41=original_billing_query!K41</f>
        <v>1</v>
      </c>
      <c r="L41" s="1" t="b">
        <f>new_billing_query_ungrouped!L41=original_billing_query!L41</f>
        <v>1</v>
      </c>
      <c r="M41" s="1" t="b">
        <f>new_billing_query_ungrouped!M41=original_billing_query!M41</f>
        <v>1</v>
      </c>
      <c r="N41" s="1" t="b">
        <f>new_billing_query_ungrouped!N41=original_billing_query!N41</f>
        <v>1</v>
      </c>
      <c r="O41" s="1" t="b">
        <f>new_billing_query_ungrouped!O41=original_billing_query!O41</f>
        <v>1</v>
      </c>
      <c r="P41" s="1" t="b">
        <f>new_billing_query_ungrouped!P41=original_billing_query!P41</f>
        <v>1</v>
      </c>
      <c r="Q41" s="1" t="b">
        <f>new_billing_query_ungrouped!Q41=original_billing_query!Q41</f>
        <v>1</v>
      </c>
      <c r="R41" s="1" t="b">
        <f>new_billing_query_ungrouped!R41=original_billing_query!R41</f>
        <v>1</v>
      </c>
    </row>
    <row r="42" spans="1:18" ht="15.75" customHeight="1" x14ac:dyDescent="0.15">
      <c r="A42" s="1" t="b">
        <f>new_billing_query_ungrouped!A42=original_billing_query!A42</f>
        <v>1</v>
      </c>
      <c r="B42" s="1" t="b">
        <f>new_billing_query_ungrouped!B42=original_billing_query!B42</f>
        <v>1</v>
      </c>
      <c r="C42" s="1" t="b">
        <f>new_billing_query_ungrouped!C42=original_billing_query!C42</f>
        <v>1</v>
      </c>
      <c r="D42" s="1" t="b">
        <f>new_billing_query_ungrouped!D42=original_billing_query!D42</f>
        <v>1</v>
      </c>
      <c r="E42" s="1" t="b">
        <f>new_billing_query_ungrouped!E42=original_billing_query!E42</f>
        <v>1</v>
      </c>
      <c r="F42" s="1" t="b">
        <f>new_billing_query_ungrouped!F42=original_billing_query!F42</f>
        <v>1</v>
      </c>
      <c r="G42" s="1" t="b">
        <f>new_billing_query_ungrouped!G42=original_billing_query!G42</f>
        <v>1</v>
      </c>
      <c r="H42" s="1" t="b">
        <f>new_billing_query_ungrouped!H42=original_billing_query!H42</f>
        <v>1</v>
      </c>
      <c r="I42" s="1" t="b">
        <f>new_billing_query_ungrouped!I42=original_billing_query!I42</f>
        <v>1</v>
      </c>
      <c r="J42" s="1" t="b">
        <f>new_billing_query_ungrouped!J42=original_billing_query!J42</f>
        <v>1</v>
      </c>
      <c r="K42" s="1" t="b">
        <f>new_billing_query_ungrouped!K42=original_billing_query!K42</f>
        <v>1</v>
      </c>
      <c r="L42" s="1" t="b">
        <f>new_billing_query_ungrouped!L42=original_billing_query!L42</f>
        <v>1</v>
      </c>
      <c r="M42" s="1" t="b">
        <f>new_billing_query_ungrouped!M42=original_billing_query!M42</f>
        <v>1</v>
      </c>
      <c r="N42" s="1" t="b">
        <f>new_billing_query_ungrouped!N42=original_billing_query!N42</f>
        <v>1</v>
      </c>
      <c r="O42" s="1" t="b">
        <f>new_billing_query_ungrouped!O42=original_billing_query!O42</f>
        <v>0</v>
      </c>
      <c r="P42" s="1" t="b">
        <f>new_billing_query_ungrouped!P42=original_billing_query!P42</f>
        <v>1</v>
      </c>
      <c r="Q42" s="1" t="b">
        <f>new_billing_query_ungrouped!Q42=original_billing_query!Q42</f>
        <v>1</v>
      </c>
      <c r="R42" s="1" t="b">
        <f>new_billing_query_ungrouped!R42=original_billing_query!R42</f>
        <v>1</v>
      </c>
    </row>
    <row r="43" spans="1:18" ht="15.75" customHeight="1" x14ac:dyDescent="0.15">
      <c r="A43" s="1" t="b">
        <f>new_billing_query_ungrouped!A43=original_billing_query!A43</f>
        <v>1</v>
      </c>
      <c r="B43" s="1" t="b">
        <f>new_billing_query_ungrouped!B43=original_billing_query!B43</f>
        <v>1</v>
      </c>
      <c r="C43" s="1" t="b">
        <f>new_billing_query_ungrouped!C43=original_billing_query!C43</f>
        <v>1</v>
      </c>
      <c r="D43" s="1" t="b">
        <f>new_billing_query_ungrouped!D43=original_billing_query!D43</f>
        <v>1</v>
      </c>
      <c r="E43" s="1" t="b">
        <f>new_billing_query_ungrouped!E43=original_billing_query!E43</f>
        <v>1</v>
      </c>
      <c r="F43" s="1" t="b">
        <f>new_billing_query_ungrouped!F43=original_billing_query!F43</f>
        <v>1</v>
      </c>
      <c r="G43" s="1" t="b">
        <f>new_billing_query_ungrouped!G43=original_billing_query!G43</f>
        <v>1</v>
      </c>
      <c r="H43" s="1" t="b">
        <f>new_billing_query_ungrouped!H43=original_billing_query!H43</f>
        <v>1</v>
      </c>
      <c r="I43" s="1" t="b">
        <f>new_billing_query_ungrouped!I43=original_billing_query!I43</f>
        <v>1</v>
      </c>
      <c r="J43" s="1" t="b">
        <f>new_billing_query_ungrouped!J43=original_billing_query!J43</f>
        <v>1</v>
      </c>
      <c r="K43" s="1" t="b">
        <f>new_billing_query_ungrouped!K43=original_billing_query!K43</f>
        <v>1</v>
      </c>
      <c r="L43" s="1" t="b">
        <f>new_billing_query_ungrouped!L43=original_billing_query!L43</f>
        <v>1</v>
      </c>
      <c r="M43" s="1" t="b">
        <f>new_billing_query_ungrouped!M43=original_billing_query!M43</f>
        <v>1</v>
      </c>
      <c r="N43" s="1" t="b">
        <f>new_billing_query_ungrouped!N43=original_billing_query!N43</f>
        <v>1</v>
      </c>
      <c r="O43" s="1" t="b">
        <f>new_billing_query_ungrouped!O43=original_billing_query!O43</f>
        <v>0</v>
      </c>
      <c r="P43" s="1" t="b">
        <f>new_billing_query_ungrouped!P43=original_billing_query!P43</f>
        <v>1</v>
      </c>
      <c r="Q43" s="1" t="b">
        <f>new_billing_query_ungrouped!Q43=original_billing_query!Q43</f>
        <v>1</v>
      </c>
      <c r="R43" s="1" t="b">
        <f>new_billing_query_ungrouped!R43=original_billing_query!R43</f>
        <v>1</v>
      </c>
    </row>
    <row r="44" spans="1:18" ht="15.75" customHeight="1" x14ac:dyDescent="0.15">
      <c r="A44" s="1" t="b">
        <f>new_billing_query_ungrouped!A44=original_billing_query!A44</f>
        <v>1</v>
      </c>
      <c r="B44" s="1" t="b">
        <f>new_billing_query_ungrouped!B44=original_billing_query!B44</f>
        <v>1</v>
      </c>
      <c r="C44" s="1" t="b">
        <f>new_billing_query_ungrouped!C44=original_billing_query!C44</f>
        <v>1</v>
      </c>
      <c r="D44" s="1" t="b">
        <f>new_billing_query_ungrouped!D44=original_billing_query!D44</f>
        <v>1</v>
      </c>
      <c r="E44" s="1" t="b">
        <f>new_billing_query_ungrouped!E44=original_billing_query!E44</f>
        <v>1</v>
      </c>
      <c r="F44" s="1" t="b">
        <f>new_billing_query_ungrouped!F44=original_billing_query!F44</f>
        <v>1</v>
      </c>
      <c r="G44" s="1" t="b">
        <f>new_billing_query_ungrouped!G44=original_billing_query!G44</f>
        <v>1</v>
      </c>
      <c r="H44" s="1" t="b">
        <f>new_billing_query_ungrouped!H44=original_billing_query!H44</f>
        <v>1</v>
      </c>
      <c r="I44" s="1" t="b">
        <f>new_billing_query_ungrouped!I44=original_billing_query!I44</f>
        <v>1</v>
      </c>
      <c r="J44" s="1" t="b">
        <f>new_billing_query_ungrouped!J44=original_billing_query!J44</f>
        <v>1</v>
      </c>
      <c r="K44" s="1" t="b">
        <f>new_billing_query_ungrouped!K44=original_billing_query!K44</f>
        <v>1</v>
      </c>
      <c r="L44" s="1" t="b">
        <f>new_billing_query_ungrouped!L44=original_billing_query!L44</f>
        <v>1</v>
      </c>
      <c r="M44" s="1" t="b">
        <f>new_billing_query_ungrouped!M44=original_billing_query!M44</f>
        <v>1</v>
      </c>
      <c r="N44" s="1" t="b">
        <f>new_billing_query_ungrouped!N44=original_billing_query!N44</f>
        <v>1</v>
      </c>
      <c r="O44" s="1" t="b">
        <f>new_billing_query_ungrouped!O44=original_billing_query!O44</f>
        <v>0</v>
      </c>
      <c r="P44" s="1" t="b">
        <f>new_billing_query_ungrouped!P44=original_billing_query!P44</f>
        <v>1</v>
      </c>
      <c r="Q44" s="1" t="b">
        <f>new_billing_query_ungrouped!Q44=original_billing_query!Q44</f>
        <v>1</v>
      </c>
      <c r="R44" s="1" t="b">
        <f>new_billing_query_ungrouped!R44=original_billing_query!R44</f>
        <v>1</v>
      </c>
    </row>
    <row r="45" spans="1:18" ht="15.75" customHeight="1" x14ac:dyDescent="0.15">
      <c r="A45" s="1" t="b">
        <f>new_billing_query_ungrouped!A45=original_billing_query!A45</f>
        <v>1</v>
      </c>
      <c r="B45" s="1" t="b">
        <f>new_billing_query_ungrouped!B45=original_billing_query!B45</f>
        <v>1</v>
      </c>
      <c r="C45" s="1" t="b">
        <f>new_billing_query_ungrouped!C45=original_billing_query!C45</f>
        <v>1</v>
      </c>
      <c r="D45" s="1" t="b">
        <f>new_billing_query_ungrouped!D45=original_billing_query!D45</f>
        <v>1</v>
      </c>
      <c r="E45" s="1" t="b">
        <f>new_billing_query_ungrouped!E45=original_billing_query!E45</f>
        <v>1</v>
      </c>
      <c r="F45" s="1" t="b">
        <f>new_billing_query_ungrouped!F45=original_billing_query!F45</f>
        <v>1</v>
      </c>
      <c r="G45" s="1" t="b">
        <f>new_billing_query_ungrouped!G45=original_billing_query!G45</f>
        <v>1</v>
      </c>
      <c r="H45" s="1" t="b">
        <f>new_billing_query_ungrouped!H45=original_billing_query!H45</f>
        <v>1</v>
      </c>
      <c r="I45" s="1" t="b">
        <f>new_billing_query_ungrouped!I45=original_billing_query!I45</f>
        <v>1</v>
      </c>
      <c r="J45" s="1" t="b">
        <f>new_billing_query_ungrouped!J45=original_billing_query!J45</f>
        <v>1</v>
      </c>
      <c r="K45" s="1" t="b">
        <f>new_billing_query_ungrouped!K45=original_billing_query!K45</f>
        <v>1</v>
      </c>
      <c r="L45" s="1" t="b">
        <f>new_billing_query_ungrouped!L45=original_billing_query!L45</f>
        <v>1</v>
      </c>
      <c r="M45" s="1" t="b">
        <f>new_billing_query_ungrouped!M45=original_billing_query!M45</f>
        <v>1</v>
      </c>
      <c r="N45" s="1" t="b">
        <f>new_billing_query_ungrouped!N45=original_billing_query!N45</f>
        <v>1</v>
      </c>
      <c r="O45" s="1" t="b">
        <f>new_billing_query_ungrouped!O45=original_billing_query!O45</f>
        <v>0</v>
      </c>
      <c r="P45" s="1" t="b">
        <f>new_billing_query_ungrouped!P45=original_billing_query!P45</f>
        <v>1</v>
      </c>
      <c r="Q45" s="1" t="b">
        <f>new_billing_query_ungrouped!Q45=original_billing_query!Q45</f>
        <v>1</v>
      </c>
      <c r="R45" s="1" t="b">
        <f>new_billing_query_ungrouped!R45=original_billing_query!R45</f>
        <v>1</v>
      </c>
    </row>
    <row r="46" spans="1:18" ht="15.75" customHeight="1" x14ac:dyDescent="0.15">
      <c r="A46" s="1" t="b">
        <f>new_billing_query_ungrouped!A46=original_billing_query!A46</f>
        <v>1</v>
      </c>
      <c r="B46" s="1" t="b">
        <f>new_billing_query_ungrouped!B46=original_billing_query!B46</f>
        <v>1</v>
      </c>
      <c r="C46" s="1" t="b">
        <f>new_billing_query_ungrouped!C46=original_billing_query!C46</f>
        <v>1</v>
      </c>
      <c r="D46" s="1" t="b">
        <f>new_billing_query_ungrouped!D46=original_billing_query!D46</f>
        <v>1</v>
      </c>
      <c r="E46" s="1" t="b">
        <f>new_billing_query_ungrouped!E46=original_billing_query!E46</f>
        <v>1</v>
      </c>
      <c r="F46" s="1" t="b">
        <f>new_billing_query_ungrouped!F46=original_billing_query!F46</f>
        <v>1</v>
      </c>
      <c r="G46" s="1" t="b">
        <f>new_billing_query_ungrouped!G46=original_billing_query!G46</f>
        <v>1</v>
      </c>
      <c r="H46" s="1" t="b">
        <f>new_billing_query_ungrouped!H46=original_billing_query!H46</f>
        <v>1</v>
      </c>
      <c r="I46" s="1" t="b">
        <f>new_billing_query_ungrouped!I46=original_billing_query!I46</f>
        <v>1</v>
      </c>
      <c r="J46" s="1" t="b">
        <f>new_billing_query_ungrouped!J46=original_billing_query!J46</f>
        <v>1</v>
      </c>
      <c r="K46" s="1" t="b">
        <f>new_billing_query_ungrouped!K46=original_billing_query!K46</f>
        <v>1</v>
      </c>
      <c r="L46" s="1" t="b">
        <f>new_billing_query_ungrouped!L46=original_billing_query!L46</f>
        <v>1</v>
      </c>
      <c r="M46" s="1" t="b">
        <f>new_billing_query_ungrouped!M46=original_billing_query!M46</f>
        <v>1</v>
      </c>
      <c r="N46" s="1" t="b">
        <f>new_billing_query_ungrouped!N46=original_billing_query!N46</f>
        <v>1</v>
      </c>
      <c r="O46" s="1" t="b">
        <f>new_billing_query_ungrouped!O46=original_billing_query!O46</f>
        <v>1</v>
      </c>
      <c r="P46" s="1" t="b">
        <f>new_billing_query_ungrouped!P46=original_billing_query!P46</f>
        <v>1</v>
      </c>
      <c r="Q46" s="1" t="b">
        <f>new_billing_query_ungrouped!Q46=original_billing_query!Q46</f>
        <v>1</v>
      </c>
      <c r="R46" s="1" t="b">
        <f>new_billing_query_ungrouped!R46=original_billing_query!R46</f>
        <v>1</v>
      </c>
    </row>
    <row r="47" spans="1:18" ht="15.75" customHeight="1" x14ac:dyDescent="0.15">
      <c r="A47" s="1" t="b">
        <f>new_billing_query_ungrouped!A47=original_billing_query!A47</f>
        <v>1</v>
      </c>
      <c r="B47" s="1" t="b">
        <f>new_billing_query_ungrouped!B47=original_billing_query!B47</f>
        <v>1</v>
      </c>
      <c r="C47" s="1" t="b">
        <f>new_billing_query_ungrouped!C47=original_billing_query!C47</f>
        <v>1</v>
      </c>
      <c r="D47" s="1" t="b">
        <f>new_billing_query_ungrouped!D47=original_billing_query!D47</f>
        <v>1</v>
      </c>
      <c r="E47" s="1" t="b">
        <f>new_billing_query_ungrouped!E47=original_billing_query!E47</f>
        <v>1</v>
      </c>
      <c r="F47" s="1" t="b">
        <f>new_billing_query_ungrouped!F47=original_billing_query!F47</f>
        <v>1</v>
      </c>
      <c r="G47" s="1" t="b">
        <f>new_billing_query_ungrouped!G47=original_billing_query!G47</f>
        <v>1</v>
      </c>
      <c r="H47" s="1" t="b">
        <f>new_billing_query_ungrouped!H47=original_billing_query!H47</f>
        <v>1</v>
      </c>
      <c r="I47" s="1" t="b">
        <f>new_billing_query_ungrouped!I47=original_billing_query!I47</f>
        <v>1</v>
      </c>
      <c r="J47" s="1" t="b">
        <f>new_billing_query_ungrouped!J47=original_billing_query!J47</f>
        <v>1</v>
      </c>
      <c r="K47" s="1" t="b">
        <f>new_billing_query_ungrouped!K47=original_billing_query!K47</f>
        <v>1</v>
      </c>
      <c r="L47" s="1" t="b">
        <f>new_billing_query_ungrouped!L47=original_billing_query!L47</f>
        <v>1</v>
      </c>
      <c r="M47" s="1" t="b">
        <f>new_billing_query_ungrouped!M47=original_billing_query!M47</f>
        <v>1</v>
      </c>
      <c r="N47" s="1" t="b">
        <f>new_billing_query_ungrouped!N47=original_billing_query!N47</f>
        <v>1</v>
      </c>
      <c r="O47" s="1" t="b">
        <f>new_billing_query_ungrouped!O47=original_billing_query!O47</f>
        <v>1</v>
      </c>
      <c r="P47" s="1" t="b">
        <f>new_billing_query_ungrouped!P47=original_billing_query!P47</f>
        <v>1</v>
      </c>
      <c r="Q47" s="1" t="b">
        <f>new_billing_query_ungrouped!Q47=original_billing_query!Q47</f>
        <v>1</v>
      </c>
      <c r="R47" s="1" t="b">
        <f>new_billing_query_ungrouped!R47=original_billing_query!R47</f>
        <v>1</v>
      </c>
    </row>
    <row r="48" spans="1:18" ht="15.75" customHeight="1" x14ac:dyDescent="0.15">
      <c r="A48" s="1" t="b">
        <f>new_billing_query_ungrouped!A48=original_billing_query!A48</f>
        <v>1</v>
      </c>
      <c r="B48" s="1" t="b">
        <f>new_billing_query_ungrouped!B48=original_billing_query!B48</f>
        <v>1</v>
      </c>
      <c r="C48" s="1" t="b">
        <f>new_billing_query_ungrouped!C48=original_billing_query!C48</f>
        <v>1</v>
      </c>
      <c r="D48" s="1" t="b">
        <f>new_billing_query_ungrouped!D48=original_billing_query!D48</f>
        <v>1</v>
      </c>
      <c r="E48" s="1" t="b">
        <f>new_billing_query_ungrouped!E48=original_billing_query!E48</f>
        <v>1</v>
      </c>
      <c r="F48" s="1" t="b">
        <f>new_billing_query_ungrouped!F48=original_billing_query!F48</f>
        <v>1</v>
      </c>
      <c r="G48" s="1" t="b">
        <f>new_billing_query_ungrouped!G48=original_billing_query!G48</f>
        <v>1</v>
      </c>
      <c r="H48" s="1" t="b">
        <f>new_billing_query_ungrouped!H48=original_billing_query!H48</f>
        <v>1</v>
      </c>
      <c r="I48" s="1" t="b">
        <f>new_billing_query_ungrouped!I48=original_billing_query!I48</f>
        <v>1</v>
      </c>
      <c r="J48" s="1" t="b">
        <f>new_billing_query_ungrouped!J48=original_billing_query!J48</f>
        <v>1</v>
      </c>
      <c r="K48" s="1" t="b">
        <f>new_billing_query_ungrouped!K48=original_billing_query!K48</f>
        <v>1</v>
      </c>
      <c r="L48" s="1" t="b">
        <f>new_billing_query_ungrouped!L48=original_billing_query!L48</f>
        <v>1</v>
      </c>
      <c r="M48" s="1" t="b">
        <f>new_billing_query_ungrouped!M48=original_billing_query!M48</f>
        <v>1</v>
      </c>
      <c r="N48" s="1" t="b">
        <f>new_billing_query_ungrouped!N48=original_billing_query!N48</f>
        <v>1</v>
      </c>
      <c r="O48" s="1" t="b">
        <f>new_billing_query_ungrouped!O48=original_billing_query!O48</f>
        <v>1</v>
      </c>
      <c r="P48" s="1" t="b">
        <f>new_billing_query_ungrouped!P48=original_billing_query!P48</f>
        <v>1</v>
      </c>
      <c r="Q48" s="1" t="b">
        <f>new_billing_query_ungrouped!Q48=original_billing_query!Q48</f>
        <v>1</v>
      </c>
      <c r="R48" s="1" t="b">
        <f>new_billing_query_ungrouped!R48=original_billing_query!R48</f>
        <v>1</v>
      </c>
    </row>
    <row r="49" spans="1:18" ht="15.75" customHeight="1" x14ac:dyDescent="0.15">
      <c r="A49" s="1" t="b">
        <f>new_billing_query_ungrouped!A49=original_billing_query!A49</f>
        <v>1</v>
      </c>
      <c r="B49" s="1" t="b">
        <f>new_billing_query_ungrouped!B49=original_billing_query!B49</f>
        <v>1</v>
      </c>
      <c r="C49" s="1" t="b">
        <f>new_billing_query_ungrouped!C49=original_billing_query!C49</f>
        <v>1</v>
      </c>
      <c r="D49" s="1" t="b">
        <f>new_billing_query_ungrouped!D49=original_billing_query!D49</f>
        <v>1</v>
      </c>
      <c r="E49" s="1" t="b">
        <f>new_billing_query_ungrouped!E49=original_billing_query!E49</f>
        <v>1</v>
      </c>
      <c r="F49" s="1" t="b">
        <f>new_billing_query_ungrouped!F49=original_billing_query!F49</f>
        <v>1</v>
      </c>
      <c r="G49" s="1" t="b">
        <f>new_billing_query_ungrouped!G49=original_billing_query!G49</f>
        <v>1</v>
      </c>
      <c r="H49" s="1" t="b">
        <f>new_billing_query_ungrouped!H49=original_billing_query!H49</f>
        <v>1</v>
      </c>
      <c r="I49" s="1" t="b">
        <f>new_billing_query_ungrouped!I49=original_billing_query!I49</f>
        <v>1</v>
      </c>
      <c r="J49" s="1" t="b">
        <f>new_billing_query_ungrouped!J49=original_billing_query!J49</f>
        <v>1</v>
      </c>
      <c r="K49" s="1" t="b">
        <f>new_billing_query_ungrouped!K49=original_billing_query!K49</f>
        <v>1</v>
      </c>
      <c r="L49" s="1" t="b">
        <f>new_billing_query_ungrouped!L49=original_billing_query!L49</f>
        <v>1</v>
      </c>
      <c r="M49" s="1" t="b">
        <f>new_billing_query_ungrouped!M49=original_billing_query!M49</f>
        <v>1</v>
      </c>
      <c r="N49" s="1" t="b">
        <f>new_billing_query_ungrouped!N49=original_billing_query!N49</f>
        <v>1</v>
      </c>
      <c r="O49" s="1" t="b">
        <f>new_billing_query_ungrouped!O49=original_billing_query!O49</f>
        <v>1</v>
      </c>
      <c r="P49" s="1" t="b">
        <f>new_billing_query_ungrouped!P49=original_billing_query!P49</f>
        <v>1</v>
      </c>
      <c r="Q49" s="1" t="b">
        <f>new_billing_query_ungrouped!Q49=original_billing_query!Q49</f>
        <v>1</v>
      </c>
      <c r="R49" s="1" t="b">
        <f>new_billing_query_ungrouped!R49=original_billing_query!R49</f>
        <v>1</v>
      </c>
    </row>
    <row r="50" spans="1:18" ht="15.75" customHeight="1" x14ac:dyDescent="0.15">
      <c r="A50" s="1" t="b">
        <f>new_billing_query_ungrouped!A50=original_billing_query!A50</f>
        <v>1</v>
      </c>
      <c r="B50" s="1" t="b">
        <f>new_billing_query_ungrouped!B50=original_billing_query!B50</f>
        <v>1</v>
      </c>
      <c r="C50" s="1" t="b">
        <f>new_billing_query_ungrouped!C50=original_billing_query!C50</f>
        <v>1</v>
      </c>
      <c r="D50" s="1" t="b">
        <f>new_billing_query_ungrouped!D50=original_billing_query!D50</f>
        <v>1</v>
      </c>
      <c r="E50" s="1" t="b">
        <f>new_billing_query_ungrouped!E50=original_billing_query!E50</f>
        <v>1</v>
      </c>
      <c r="F50" s="1" t="b">
        <f>new_billing_query_ungrouped!F50=original_billing_query!F50</f>
        <v>1</v>
      </c>
      <c r="G50" s="1" t="b">
        <f>new_billing_query_ungrouped!G50=original_billing_query!G50</f>
        <v>1</v>
      </c>
      <c r="H50" s="1" t="b">
        <f>new_billing_query_ungrouped!H50=original_billing_query!H50</f>
        <v>1</v>
      </c>
      <c r="I50" s="1" t="b">
        <f>new_billing_query_ungrouped!I50=original_billing_query!I50</f>
        <v>1</v>
      </c>
      <c r="J50" s="1" t="b">
        <f>new_billing_query_ungrouped!J50=original_billing_query!J50</f>
        <v>1</v>
      </c>
      <c r="K50" s="1" t="b">
        <f>new_billing_query_ungrouped!K50=original_billing_query!K50</f>
        <v>1</v>
      </c>
      <c r="L50" s="1" t="b">
        <f>new_billing_query_ungrouped!L50=original_billing_query!L50</f>
        <v>1</v>
      </c>
      <c r="M50" s="1" t="b">
        <f>new_billing_query_ungrouped!M50=original_billing_query!M50</f>
        <v>1</v>
      </c>
      <c r="N50" s="1" t="b">
        <f>new_billing_query_ungrouped!N50=original_billing_query!N50</f>
        <v>1</v>
      </c>
      <c r="O50" s="1" t="b">
        <f>new_billing_query_ungrouped!O50=original_billing_query!O50</f>
        <v>1</v>
      </c>
      <c r="P50" s="1" t="b">
        <f>new_billing_query_ungrouped!P50=original_billing_query!P50</f>
        <v>1</v>
      </c>
      <c r="Q50" s="1" t="b">
        <f>new_billing_query_ungrouped!Q50=original_billing_query!Q50</f>
        <v>1</v>
      </c>
      <c r="R50" s="1" t="b">
        <f>new_billing_query_ungrouped!R50=original_billing_query!R50</f>
        <v>1</v>
      </c>
    </row>
    <row r="51" spans="1:18" ht="15.75" customHeight="1" x14ac:dyDescent="0.15">
      <c r="A51" s="1" t="b">
        <f>new_billing_query_ungrouped!A51=original_billing_query!A51</f>
        <v>1</v>
      </c>
      <c r="B51" s="1" t="b">
        <f>new_billing_query_ungrouped!B51=original_billing_query!B51</f>
        <v>1</v>
      </c>
      <c r="C51" s="1" t="b">
        <f>new_billing_query_ungrouped!C51=original_billing_query!C51</f>
        <v>1</v>
      </c>
      <c r="D51" s="1" t="b">
        <f>new_billing_query_ungrouped!D51=original_billing_query!D51</f>
        <v>1</v>
      </c>
      <c r="E51" s="1" t="b">
        <f>new_billing_query_ungrouped!E51=original_billing_query!E51</f>
        <v>1</v>
      </c>
      <c r="F51" s="1" t="b">
        <f>new_billing_query_ungrouped!F51=original_billing_query!F51</f>
        <v>1</v>
      </c>
      <c r="G51" s="1" t="b">
        <f>new_billing_query_ungrouped!G51=original_billing_query!G51</f>
        <v>1</v>
      </c>
      <c r="H51" s="1" t="b">
        <f>new_billing_query_ungrouped!H51=original_billing_query!H51</f>
        <v>1</v>
      </c>
      <c r="I51" s="1" t="b">
        <f>new_billing_query_ungrouped!I51=original_billing_query!I51</f>
        <v>1</v>
      </c>
      <c r="J51" s="1" t="b">
        <f>new_billing_query_ungrouped!J51=original_billing_query!J51</f>
        <v>1</v>
      </c>
      <c r="K51" s="1" t="b">
        <f>new_billing_query_ungrouped!K51=original_billing_query!K51</f>
        <v>1</v>
      </c>
      <c r="L51" s="1" t="b">
        <f>new_billing_query_ungrouped!L51=original_billing_query!L51</f>
        <v>1</v>
      </c>
      <c r="M51" s="1" t="b">
        <f>new_billing_query_ungrouped!M51=original_billing_query!M51</f>
        <v>1</v>
      </c>
      <c r="N51" s="1" t="b">
        <f>new_billing_query_ungrouped!N51=original_billing_query!N51</f>
        <v>1</v>
      </c>
      <c r="O51" s="1" t="b">
        <f>new_billing_query_ungrouped!O51=original_billing_query!O51</f>
        <v>1</v>
      </c>
      <c r="P51" s="1" t="b">
        <f>new_billing_query_ungrouped!P51=original_billing_query!P51</f>
        <v>1</v>
      </c>
      <c r="Q51" s="1" t="b">
        <f>new_billing_query_ungrouped!Q51=original_billing_query!Q51</f>
        <v>1</v>
      </c>
      <c r="R51" s="1" t="b">
        <f>new_billing_query_ungrouped!R51=original_billing_query!R51</f>
        <v>1</v>
      </c>
    </row>
    <row r="52" spans="1:18" ht="15.75" customHeight="1" x14ac:dyDescent="0.15">
      <c r="A52" s="1" t="b">
        <f>new_billing_query_ungrouped!A52=original_billing_query!A52</f>
        <v>1</v>
      </c>
      <c r="B52" s="1" t="b">
        <f>new_billing_query_ungrouped!B52=original_billing_query!B52</f>
        <v>1</v>
      </c>
      <c r="C52" s="1" t="b">
        <f>new_billing_query_ungrouped!C52=original_billing_query!C52</f>
        <v>1</v>
      </c>
      <c r="D52" s="1" t="b">
        <f>new_billing_query_ungrouped!D52=original_billing_query!D52</f>
        <v>1</v>
      </c>
      <c r="E52" s="1" t="b">
        <f>new_billing_query_ungrouped!E52=original_billing_query!E52</f>
        <v>1</v>
      </c>
      <c r="F52" s="1" t="b">
        <f>new_billing_query_ungrouped!F52=original_billing_query!F52</f>
        <v>1</v>
      </c>
      <c r="G52" s="1" t="b">
        <f>new_billing_query_ungrouped!G52=original_billing_query!G52</f>
        <v>1</v>
      </c>
      <c r="H52" s="1" t="b">
        <f>new_billing_query_ungrouped!H52=original_billing_query!H52</f>
        <v>1</v>
      </c>
      <c r="I52" s="1" t="b">
        <f>new_billing_query_ungrouped!I52=original_billing_query!I52</f>
        <v>1</v>
      </c>
      <c r="J52" s="1" t="b">
        <f>new_billing_query_ungrouped!J52=original_billing_query!J52</f>
        <v>1</v>
      </c>
      <c r="K52" s="1" t="b">
        <f>new_billing_query_ungrouped!K52=original_billing_query!K52</f>
        <v>1</v>
      </c>
      <c r="L52" s="1" t="b">
        <f>new_billing_query_ungrouped!L52=original_billing_query!L52</f>
        <v>1</v>
      </c>
      <c r="M52" s="1" t="b">
        <f>new_billing_query_ungrouped!M52=original_billing_query!M52</f>
        <v>1</v>
      </c>
      <c r="N52" s="1" t="b">
        <f>new_billing_query_ungrouped!N52=original_billing_query!N52</f>
        <v>1</v>
      </c>
      <c r="O52" s="1" t="b">
        <f>new_billing_query_ungrouped!O52=original_billing_query!O52</f>
        <v>1</v>
      </c>
      <c r="P52" s="1" t="b">
        <f>new_billing_query_ungrouped!P52=original_billing_query!P52</f>
        <v>1</v>
      </c>
      <c r="Q52" s="1" t="b">
        <f>new_billing_query_ungrouped!Q52=original_billing_query!Q52</f>
        <v>1</v>
      </c>
      <c r="R52" s="1" t="b">
        <f>new_billing_query_ungrouped!R52=original_billing_query!R52</f>
        <v>1</v>
      </c>
    </row>
    <row r="53" spans="1:18" ht="15.75" customHeight="1" x14ac:dyDescent="0.15">
      <c r="A53" s="1" t="b">
        <f>new_billing_query_ungrouped!A53=original_billing_query!A53</f>
        <v>1</v>
      </c>
      <c r="B53" s="1" t="b">
        <f>new_billing_query_ungrouped!B53=original_billing_query!B53</f>
        <v>1</v>
      </c>
      <c r="C53" s="1" t="b">
        <f>new_billing_query_ungrouped!C53=original_billing_query!C53</f>
        <v>1</v>
      </c>
      <c r="D53" s="1" t="b">
        <f>new_billing_query_ungrouped!D53=original_billing_query!D53</f>
        <v>1</v>
      </c>
      <c r="E53" s="1" t="b">
        <f>new_billing_query_ungrouped!E53=original_billing_query!E53</f>
        <v>1</v>
      </c>
      <c r="F53" s="1" t="b">
        <f>new_billing_query_ungrouped!F53=original_billing_query!F53</f>
        <v>1</v>
      </c>
      <c r="G53" s="1" t="b">
        <f>new_billing_query_ungrouped!G53=original_billing_query!G53</f>
        <v>1</v>
      </c>
      <c r="H53" s="1" t="b">
        <f>new_billing_query_ungrouped!H53=original_billing_query!H53</f>
        <v>1</v>
      </c>
      <c r="I53" s="1" t="b">
        <f>new_billing_query_ungrouped!I53=original_billing_query!I53</f>
        <v>1</v>
      </c>
      <c r="J53" s="1" t="b">
        <f>new_billing_query_ungrouped!J53=original_billing_query!J53</f>
        <v>1</v>
      </c>
      <c r="K53" s="1" t="b">
        <f>new_billing_query_ungrouped!K53=original_billing_query!K53</f>
        <v>1</v>
      </c>
      <c r="L53" s="1" t="b">
        <f>new_billing_query_ungrouped!L53=original_billing_query!L53</f>
        <v>1</v>
      </c>
      <c r="M53" s="1" t="b">
        <f>new_billing_query_ungrouped!M53=original_billing_query!M53</f>
        <v>1</v>
      </c>
      <c r="N53" s="1" t="b">
        <f>new_billing_query_ungrouped!N53=original_billing_query!N53</f>
        <v>1</v>
      </c>
      <c r="O53" s="1" t="b">
        <f>new_billing_query_ungrouped!O53=original_billing_query!O53</f>
        <v>1</v>
      </c>
      <c r="P53" s="1" t="b">
        <f>new_billing_query_ungrouped!P53=original_billing_query!P53</f>
        <v>1</v>
      </c>
      <c r="Q53" s="1" t="b">
        <f>new_billing_query_ungrouped!Q53=original_billing_query!Q53</f>
        <v>1</v>
      </c>
      <c r="R53" s="1" t="b">
        <f>new_billing_query_ungrouped!R53=original_billing_query!R53</f>
        <v>1</v>
      </c>
    </row>
    <row r="54" spans="1:18" ht="15.75" customHeight="1" x14ac:dyDescent="0.15">
      <c r="A54" s="1" t="b">
        <f>new_billing_query_ungrouped!A54=original_billing_query!A54</f>
        <v>1</v>
      </c>
      <c r="B54" s="1" t="b">
        <f>new_billing_query_ungrouped!B54=original_billing_query!B54</f>
        <v>1</v>
      </c>
      <c r="C54" s="1" t="b">
        <f>new_billing_query_ungrouped!C54=original_billing_query!C54</f>
        <v>1</v>
      </c>
      <c r="D54" s="1" t="b">
        <f>new_billing_query_ungrouped!D54=original_billing_query!D54</f>
        <v>1</v>
      </c>
      <c r="E54" s="1" t="b">
        <f>new_billing_query_ungrouped!E54=original_billing_query!E54</f>
        <v>1</v>
      </c>
      <c r="F54" s="1" t="b">
        <f>new_billing_query_ungrouped!F54=original_billing_query!F54</f>
        <v>1</v>
      </c>
      <c r="G54" s="1" t="b">
        <f>new_billing_query_ungrouped!G54=original_billing_query!G54</f>
        <v>1</v>
      </c>
      <c r="H54" s="1" t="b">
        <f>new_billing_query_ungrouped!H54=original_billing_query!H54</f>
        <v>1</v>
      </c>
      <c r="I54" s="1" t="b">
        <f>new_billing_query_ungrouped!I54=original_billing_query!I54</f>
        <v>1</v>
      </c>
      <c r="J54" s="1" t="b">
        <f>new_billing_query_ungrouped!J54=original_billing_query!J54</f>
        <v>1</v>
      </c>
      <c r="K54" s="1" t="b">
        <f>new_billing_query_ungrouped!K54=original_billing_query!K54</f>
        <v>1</v>
      </c>
      <c r="L54" s="1" t="b">
        <f>new_billing_query_ungrouped!L54=original_billing_query!L54</f>
        <v>1</v>
      </c>
      <c r="M54" s="1" t="b">
        <f>new_billing_query_ungrouped!M54=original_billing_query!M54</f>
        <v>1</v>
      </c>
      <c r="N54" s="1" t="b">
        <f>new_billing_query_ungrouped!N54=original_billing_query!N54</f>
        <v>1</v>
      </c>
      <c r="O54" s="1" t="b">
        <f>new_billing_query_ungrouped!O54=original_billing_query!O54</f>
        <v>1</v>
      </c>
      <c r="P54" s="1" t="b">
        <f>new_billing_query_ungrouped!P54=original_billing_query!P54</f>
        <v>1</v>
      </c>
      <c r="Q54" s="1" t="b">
        <f>new_billing_query_ungrouped!Q54=original_billing_query!Q54</f>
        <v>1</v>
      </c>
      <c r="R54" s="1" t="b">
        <f>new_billing_query_ungrouped!R54=original_billing_query!R54</f>
        <v>1</v>
      </c>
    </row>
    <row r="55" spans="1:18" ht="13" x14ac:dyDescent="0.15">
      <c r="A55" s="1" t="b">
        <f>new_billing_query_ungrouped!A55=original_billing_query!A55</f>
        <v>1</v>
      </c>
      <c r="B55" s="1" t="b">
        <f>new_billing_query_ungrouped!B55=original_billing_query!B55</f>
        <v>1</v>
      </c>
      <c r="C55" s="1" t="b">
        <f>new_billing_query_ungrouped!C55=original_billing_query!C55</f>
        <v>1</v>
      </c>
      <c r="D55" s="1" t="b">
        <f>new_billing_query_ungrouped!D55=original_billing_query!D55</f>
        <v>1</v>
      </c>
      <c r="E55" s="1" t="b">
        <f>new_billing_query_ungrouped!E55=original_billing_query!E55</f>
        <v>1</v>
      </c>
      <c r="F55" s="1" t="b">
        <f>new_billing_query_ungrouped!F55=original_billing_query!F55</f>
        <v>1</v>
      </c>
      <c r="G55" s="1" t="b">
        <f>new_billing_query_ungrouped!G55=original_billing_query!G55</f>
        <v>1</v>
      </c>
      <c r="H55" s="1" t="b">
        <f>new_billing_query_ungrouped!H55=original_billing_query!H55</f>
        <v>1</v>
      </c>
      <c r="I55" s="1" t="b">
        <f>new_billing_query_ungrouped!I55=original_billing_query!I55</f>
        <v>1</v>
      </c>
      <c r="J55" s="1" t="b">
        <f>new_billing_query_ungrouped!J55=original_billing_query!J55</f>
        <v>1</v>
      </c>
      <c r="K55" s="1" t="b">
        <f>new_billing_query_ungrouped!K55=original_billing_query!K55</f>
        <v>1</v>
      </c>
      <c r="L55" s="1" t="b">
        <f>new_billing_query_ungrouped!L55=original_billing_query!L55</f>
        <v>1</v>
      </c>
      <c r="M55" s="1" t="b">
        <f>new_billing_query_ungrouped!M55=original_billing_query!M55</f>
        <v>1</v>
      </c>
      <c r="N55" s="1" t="b">
        <f>new_billing_query_ungrouped!N55=original_billing_query!N55</f>
        <v>1</v>
      </c>
      <c r="O55" s="1" t="b">
        <f>new_billing_query_ungrouped!O55=original_billing_query!O55</f>
        <v>1</v>
      </c>
      <c r="P55" s="1" t="b">
        <f>new_billing_query_ungrouped!P55=original_billing_query!P55</f>
        <v>1</v>
      </c>
      <c r="Q55" s="1" t="b">
        <f>new_billing_query_ungrouped!Q55=original_billing_query!Q55</f>
        <v>1</v>
      </c>
      <c r="R55" s="1" t="b">
        <f>new_billing_query_ungrouped!R55=original_billing_query!R55</f>
        <v>1</v>
      </c>
    </row>
    <row r="56" spans="1:18" ht="13" x14ac:dyDescent="0.15">
      <c r="A56" s="1" t="b">
        <f>new_billing_query_ungrouped!A56=original_billing_query!A56</f>
        <v>1</v>
      </c>
      <c r="B56" s="1" t="b">
        <f>new_billing_query_ungrouped!B56=original_billing_query!B56</f>
        <v>1</v>
      </c>
      <c r="C56" s="1" t="b">
        <f>new_billing_query_ungrouped!C56=original_billing_query!C56</f>
        <v>1</v>
      </c>
      <c r="D56" s="1" t="b">
        <f>new_billing_query_ungrouped!D56=original_billing_query!D56</f>
        <v>1</v>
      </c>
      <c r="E56" s="1" t="b">
        <f>new_billing_query_ungrouped!E56=original_billing_query!E56</f>
        <v>1</v>
      </c>
      <c r="F56" s="1" t="b">
        <f>new_billing_query_ungrouped!F56=original_billing_query!F56</f>
        <v>1</v>
      </c>
      <c r="G56" s="1" t="b">
        <f>new_billing_query_ungrouped!G56=original_billing_query!G56</f>
        <v>1</v>
      </c>
      <c r="H56" s="1" t="b">
        <f>new_billing_query_ungrouped!H56=original_billing_query!H56</f>
        <v>1</v>
      </c>
      <c r="I56" s="1" t="b">
        <f>new_billing_query_ungrouped!I56=original_billing_query!I56</f>
        <v>1</v>
      </c>
      <c r="J56" s="1" t="b">
        <f>new_billing_query_ungrouped!J56=original_billing_query!J56</f>
        <v>1</v>
      </c>
      <c r="K56" s="1" t="b">
        <f>new_billing_query_ungrouped!K56=original_billing_query!K56</f>
        <v>1</v>
      </c>
      <c r="L56" s="1" t="b">
        <f>new_billing_query_ungrouped!L56=original_billing_query!L56</f>
        <v>1</v>
      </c>
      <c r="M56" s="1" t="b">
        <f>new_billing_query_ungrouped!M56=original_billing_query!M56</f>
        <v>1</v>
      </c>
      <c r="N56" s="1" t="b">
        <f>new_billing_query_ungrouped!N56=original_billing_query!N56</f>
        <v>1</v>
      </c>
      <c r="O56" s="1" t="b">
        <f>new_billing_query_ungrouped!O56=original_billing_query!O56</f>
        <v>1</v>
      </c>
      <c r="P56" s="1" t="b">
        <f>new_billing_query_ungrouped!P56=original_billing_query!P56</f>
        <v>1</v>
      </c>
      <c r="Q56" s="1" t="b">
        <f>new_billing_query_ungrouped!Q56=original_billing_query!Q56</f>
        <v>1</v>
      </c>
      <c r="R56" s="1" t="b">
        <f>new_billing_query_ungrouped!R56=original_billing_query!R56</f>
        <v>1</v>
      </c>
    </row>
    <row r="57" spans="1:18" ht="13" x14ac:dyDescent="0.15">
      <c r="A57" s="1" t="b">
        <f>new_billing_query_ungrouped!A57=original_billing_query!A57</f>
        <v>1</v>
      </c>
      <c r="B57" s="1" t="b">
        <f>new_billing_query_ungrouped!B57=original_billing_query!B57</f>
        <v>1</v>
      </c>
      <c r="C57" s="1" t="b">
        <f>new_billing_query_ungrouped!C57=original_billing_query!C57</f>
        <v>1</v>
      </c>
      <c r="D57" s="1" t="b">
        <f>new_billing_query_ungrouped!D57=original_billing_query!D57</f>
        <v>1</v>
      </c>
      <c r="E57" s="1" t="b">
        <f>new_billing_query_ungrouped!E57=original_billing_query!E57</f>
        <v>1</v>
      </c>
      <c r="F57" s="1" t="b">
        <f>new_billing_query_ungrouped!F57=original_billing_query!F57</f>
        <v>1</v>
      </c>
      <c r="G57" s="1" t="b">
        <f>new_billing_query_ungrouped!G57=original_billing_query!G57</f>
        <v>1</v>
      </c>
      <c r="H57" s="1" t="b">
        <f>new_billing_query_ungrouped!H57=original_billing_query!H57</f>
        <v>1</v>
      </c>
      <c r="I57" s="1" t="b">
        <f>new_billing_query_ungrouped!I57=original_billing_query!I57</f>
        <v>1</v>
      </c>
      <c r="J57" s="1" t="b">
        <f>new_billing_query_ungrouped!J57=original_billing_query!J57</f>
        <v>1</v>
      </c>
      <c r="K57" s="1" t="b">
        <f>new_billing_query_ungrouped!K57=original_billing_query!K57</f>
        <v>1</v>
      </c>
      <c r="L57" s="1" t="b">
        <f>new_billing_query_ungrouped!L57=original_billing_query!L57</f>
        <v>1</v>
      </c>
      <c r="M57" s="1" t="b">
        <f>new_billing_query_ungrouped!M57=original_billing_query!M57</f>
        <v>1</v>
      </c>
      <c r="N57" s="1" t="b">
        <f>new_billing_query_ungrouped!N57=original_billing_query!N57</f>
        <v>1</v>
      </c>
      <c r="O57" s="1" t="b">
        <f>new_billing_query_ungrouped!O57=original_billing_query!O57</f>
        <v>1</v>
      </c>
      <c r="P57" s="1" t="b">
        <f>new_billing_query_ungrouped!P57=original_billing_query!P57</f>
        <v>1</v>
      </c>
      <c r="Q57" s="1" t="b">
        <f>new_billing_query_ungrouped!Q57=original_billing_query!Q57</f>
        <v>1</v>
      </c>
      <c r="R57" s="1" t="b">
        <f>new_billing_query_ungrouped!R57=original_billing_query!R57</f>
        <v>1</v>
      </c>
    </row>
  </sheetData>
  <conditionalFormatting sqref="A1:R57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new_billing_query</vt:lpstr>
      <vt:lpstr>original_billing_query</vt:lpstr>
      <vt:lpstr>Check New Vs Old</vt:lpstr>
      <vt:lpstr>new_billing_query_ungrouped</vt:lpstr>
      <vt:lpstr>Cell By Cell Cmp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Whiteley</cp:lastModifiedBy>
  <dcterms:created xsi:type="dcterms:W3CDTF">2026-02-02T10:26:37Z</dcterms:created>
  <dcterms:modified xsi:type="dcterms:W3CDTF">2026-02-02T10:26:37Z</dcterms:modified>
</cp:coreProperties>
</file>